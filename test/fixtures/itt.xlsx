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2e084ff9347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c5b403658a4bcc"/>
    <x:sheet xmlns:r="http://schemas.openxmlformats.org/officeDocument/2006/relationships" name="Assumptions" sheetId="2" r:id="R69d8faf722a946b3"/>
    <x:sheet xmlns:r="http://schemas.openxmlformats.org/officeDocument/2006/relationships" name="Compute" sheetId="3" r:id="R6223ac23d8664805"/>
    <x:sheet xmlns:r="http://schemas.openxmlformats.org/officeDocument/2006/relationships" name="Institute" sheetId="4" r:id="Rdb00bc39bb734707"/>
    <x:sheet xmlns:r="http://schemas.openxmlformats.org/officeDocument/2006/relationships" name="Founding Budget" sheetId="5" r:id="R87e3d0306016478e"/>
    <x:sheet xmlns:r="http://schemas.openxmlformats.org/officeDocument/2006/relationships" name="Checks" sheetId="6" r:id="Rcdd5e7f0be21438b"/>
    <x:sheet xmlns:r="http://schemas.openxmlformats.org/officeDocument/2006/relationships" name="Partner Service" sheetId="7" r:id="Rc06e576b8f6045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;[Red](#,##0);&quot;–&quot;"/>
    <x:numFmt numFmtId="201" formatCode="0.0%;[Red](0.0%);&quot;–&quot;"/>
    <x:numFmt numFmtId="202" formatCode="0.0;[Red](0.0);&quot;–&quot;"/>
    <x:numFmt numFmtId="203" formatCode="0.00"/>
    <x:numFmt numFmtId="204" formatCode="0.0"/>
    <x:numFmt numFmtId="205" formatCode="0.000&quot;x&quot;"/>
    <x:numFmt numFmtId="206" formatCode="0.00%"/>
    <x:numFmt numFmtId="207" formatCode="#,##0;(#,##0);&quot;–&quot;"/>
    <x:numFmt numFmtId="208" formatCode="0.00;(0.00);&quot;–&quot;"/>
    <x:numFmt numFmtId="209" formatCode="0.0%;(0.0%);&quot;–&quot;"/>
    <x:numFmt numFmtId="210" formatCode="&quot;£&quot;#,##0;(&quot;£&quot;#,##0);&quot;–&quot;"/>
    <x:numFmt numFmtId="211" formatCode="0.00%;(0.00%);&quot;–&quot;"/>
    <x:numFmt numFmtId="212" formatCode="0.0%"/>
  </x:numFmts>
  <x:fonts count="20">
    <x:font>
      <x:sz val="11"/>
      <x:name val="Carlito"/>
    </x:font>
    <x:font>
      <x:sz val="10"/>
      <x:color rgb="FF101820"/>
      <x:name val="Arial"/>
    </x:font>
    <x:font>
      <x:b/>
      <x:sz val="17"/>
      <x:color rgb="FF18354A"/>
      <x:name val="Arial"/>
    </x:font>
    <x:font>
      <x:sz val="10"/>
      <x:color rgb="FF445363"/>
      <x:name val="Arial"/>
    </x:font>
    <x:font>
      <x:sz val="10"/>
      <x:color rgb="FF15744C"/>
      <x:name val="Arial"/>
    </x:font>
    <x:font>
      <x:b/>
      <x:sz val="10"/>
      <x:color rgb="FF1663B7"/>
      <x:name val="Arial"/>
    </x:font>
    <x:font>
      <x:b/>
      <x:sz val="10"/>
      <x:color rgb="FFFFFFFF"/>
      <x:name val="Arial"/>
    </x:font>
    <x:font>
      <x:sz val="10"/>
      <x:color rgb="FF1663B7"/>
      <x:name val="Arial"/>
    </x:font>
    <x:font>
      <x:sz val="9"/>
      <x:color rgb="FF606B77"/>
      <x:name val="Arial"/>
    </x:font>
    <x:font>
      <x:sz val="9"/>
      <x:color rgb="FF445363"/>
      <x:name val="Arial"/>
    </x:font>
    <x:font>
      <x:b/>
      <x:sz val="10"/>
      <x:color rgb="FF101820"/>
      <x:name val="Arial"/>
    </x:font>
    <x:font>
      <x:b/>
      <x:sz val="10"/>
      <x:color rgb="FF15744C"/>
      <x:name val="Arial"/>
    </x:font>
    <x:font>
      <x:sz val="10"/>
      <x:color rgb="FF000000"/>
      <x:name val="Arial"/>
    </x:font>
    <x:font>
      <x:sz val="10"/>
      <x:color rgb="FF0000FF"/>
      <x:name val="Arial"/>
    </x:font>
    <x:font>
      <x:sz val="9"/>
      <x:color rgb="FF44546A"/>
      <x:name val="Arial"/>
    </x:font>
    <x:font>
      <x:sz val="10"/>
      <x:color rgb="FF44546A"/>
      <x:name val="Arial"/>
    </x:font>
    <x:font>
      <x:b/>
      <x:sz val="10"/>
      <x:color rgb="FF000000"/>
      <x:name val="Arial"/>
    </x:font>
    <x:font>
      <x:b/>
      <x:sz val="15"/>
      <x:color rgb="FF18394D"/>
      <x:name val="Arial"/>
    </x:font>
    <x:font>
      <x:sz val="10"/>
      <x:color rgb="FF008000"/>
      <x:name val="Arial"/>
    </x:font>
    <x:font>
      <x:i/>
      <x:sz val="10"/>
      <x:color rgb="FF0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8354A"/>
      </x:patternFill>
    </x:fill>
    <x:fill>
      <x:patternFill patternType="solid">
        <x:fgColor rgb="FFEDF1F4"/>
      </x:patternFill>
    </x:fill>
    <x:fill>
      <x:patternFill patternType="solid">
        <x:fgColor rgb="FF18394D"/>
      </x:patternFill>
    </x:fill>
    <x:fill>
      <x:patternFill patternType="solid">
        <x:fgColor rgb="FFFFF2CC"/>
      </x:patternFill>
    </x:fill>
    <x:fill>
      <x:patternFill patternType="solid">
        <x:fgColor rgb="FFEBF0F4"/>
      </x:patternFill>
    </x:fill>
  </x:fills>
  <x:borders count="2">
    <x:border/>
    <x:border>
      <x:top style="thin">
        <x:color rgb="FFBFCBD2"/>
      </x:top>
    </x:border>
  </x:borders>
  <x:cellStyleXfs count="1">
    <x:xf numFmtId="0" fontId="0" fillId="0" borderId="0"/>
  </x:cellStyleXfs>
  <x:cellXfs count="9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200" fontId="10" fillId="4" borderId="0" xfId="0" applyNumberFormat="1" applyFont="1" applyFill="1" applyBorder="1" applyAlignment="1">
      <x:alignment vertical="center"/>
    </x:xf>
    <x:xf numFmtId="0" fontId="10" fillId="4" borderId="1" xfId="0" applyNumberFormat="1" applyFont="1" applyFill="1" applyBorder="1" applyAlignment="1">
      <x:alignment vertical="center"/>
    </x:xf>
    <x:xf numFmtId="200" fontId="10" fillId="4" borderId="1" xfId="0" applyNumberFormat="1" applyFont="1" applyFill="1" applyBorder="1" applyAlignment="1">
      <x:alignment vertical="center"/>
    </x:xf>
    <x:xf numFmtId="203" fontId="10" fillId="4" borderId="1" xfId="0" applyNumberFormat="1" applyFont="1" applyFill="1" applyBorder="1" applyAlignment="1">
      <x:alignment vertical="center"/>
    </x:xf>
    <x:xf numFmtId="201" fontId="10" fillId="4" borderId="1" xfId="0" applyNumberFormat="1" applyFont="1" applyFill="1" applyBorder="1" applyAlignment="1">
      <x:alignment vertical="center"/>
    </x:xf>
    <x:xf numFmtId="204" fontId="10" fillId="4" borderId="1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0" fontId="11" fillId="4" borderId="0" xfId="0" applyNumberFormat="1" applyFont="1" applyFill="1" applyBorder="1" applyAlignment="1">
      <x:alignment vertical="center"/>
    </x:xf>
    <x:xf numFmtId="200" fontId="11" fillId="4" borderId="1" xfId="0" applyNumberFormat="1" applyFont="1" applyFill="1" applyBorder="1" applyAlignment="1">
      <x:alignment vertical="center"/>
    </x:xf>
    <x:xf numFmtId="205" fontId="10" fillId="4" borderId="1" xfId="0" applyNumberFormat="1" applyFont="1" applyFill="1" applyBorder="1" applyAlignment="1">
      <x:alignment vertical="center"/>
    </x:xf>
    <x:xf numFmtId="206" fontId="11" fillId="4" borderId="1" xfId="0" applyNumberFormat="1" applyFont="1" applyFill="1" applyBorder="1" applyAlignment="1">
      <x:alignment vertical="center"/>
    </x:xf>
    <x:xf numFmtId="206" fontId="10" fillId="4" borderId="1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2" fillId="5" borderId="0" xfId="0" applyNumberFormat="1" applyFont="1" applyFill="1" applyBorder="1" applyAlignment="1">
      <x:alignment vertical="center"/>
    </x:xf>
    <x:xf numFmtId="200" fontId="12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vertical="center"/>
    </x:xf>
    <x:xf numFmtId="200" fontId="12" fillId="6" borderId="0" xfId="0" applyNumberFormat="1" applyFont="1" applyFill="1" applyBorder="1" applyAlignment="1">
      <x:alignment vertical="center"/>
    </x:xf>
    <x:xf numFmtId="200" fontId="13" fillId="6" borderId="0" xfId="0" applyNumberFormat="1" applyFont="1" applyFill="1" applyBorder="1" applyAlignment="1">
      <x:alignment vertical="center"/>
    </x:xf>
    <x:xf numFmtId="207" fontId="13" fillId="6" borderId="0" xfId="0" applyNumberFormat="1" applyFont="1" applyFill="1" applyBorder="1" applyAlignment="1">
      <x:alignment vertical="center"/>
    </x:xf>
    <x:xf numFmtId="200" fontId="14" fillId="0" borderId="0" xfId="0" applyNumberFormat="1" applyFont="1" applyFill="1" applyBorder="1" applyAlignment="1">
      <x:alignment vertical="center"/>
    </x:xf>
    <x:xf numFmtId="208" fontId="13" fillId="6" borderId="0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2" fillId="7" borderId="0" xfId="0" applyNumberFormat="1" applyFont="1" applyFill="1" applyBorder="1" applyAlignment="1">
      <x:alignment vertical="center"/>
    </x:xf>
    <x:xf numFmtId="0" fontId="16" fillId="7" borderId="0" xfId="0" applyNumberFormat="1" applyFont="1" applyFill="1" applyBorder="1" applyAlignment="1">
      <x:alignment vertical="center"/>
    </x:xf>
    <x:xf numFmtId="207" fontId="16" fillId="7" borderId="0" xfId="0" applyNumberFormat="1" applyFont="1" applyFill="1" applyBorder="1" applyAlignment="1">
      <x:alignment vertical="center"/>
    </x:xf>
    <x:xf numFmtId="208" fontId="16" fillId="7" borderId="0" xfId="0" applyNumberFormat="1" applyFont="1" applyFill="1" applyBorder="1" applyAlignment="1">
      <x:alignment vertical="center"/>
    </x:xf>
    <x:xf numFmtId="207" fontId="12" fillId="0" borderId="0" xfId="0" applyNumberFormat="1" applyFont="1" applyFill="1" applyBorder="1" applyAlignment="1">
      <x:alignment vertical="center"/>
    </x:xf>
    <x:xf numFmtId="207" fontId="12" fillId="0" borderId="0" xfId="0" applyNumberFormat="1" applyFont="1" applyFill="1" applyBorder="1" applyAlignment="1">
      <x:alignment horizontal="right" vertical="center"/>
    </x:xf>
    <x:xf numFmtId="0" fontId="17" fillId="0" borderId="0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 applyAlignment="1">
      <x:alignment vertical="center"/>
    </x:xf>
    <x:xf numFmtId="207" fontId="12" fillId="5" borderId="0" xfId="0" applyNumberFormat="1" applyFont="1" applyFill="1" applyBorder="1" applyAlignment="1">
      <x:alignment horizontal="right" vertical="center"/>
    </x:xf>
    <x:xf numFmtId="207" fontId="6" fillId="5" borderId="0" xfId="0" applyNumberFormat="1" applyFont="1" applyFill="1" applyBorder="1" applyAlignment="1">
      <x:alignment horizontal="right" vertical="center"/>
    </x:xf>
    <x:xf numFmtId="207" fontId="18" fillId="0" borderId="0" xfId="0" applyNumberFormat="1" applyFont="1" applyFill="1" applyBorder="1" applyAlignment="1">
      <x:alignment horizontal="right" vertical="center"/>
    </x:xf>
    <x:xf numFmtId="208" fontId="18" fillId="0" borderId="0" xfId="0" applyNumberFormat="1" applyFont="1" applyFill="1" applyBorder="1" applyAlignment="1">
      <x:alignment horizontal="right" vertical="center"/>
    </x:xf>
    <x:xf numFmtId="209" fontId="12" fillId="0" borderId="0" xfId="0" applyNumberFormat="1" applyFont="1" applyFill="1" applyBorder="1" applyAlignment="1">
      <x:alignment horizontal="right" vertical="center"/>
    </x:xf>
    <x:xf numFmtId="0" fontId="19" fillId="0" borderId="0" xfId="0" applyNumberFormat="1" applyFont="1" applyFill="1" applyBorder="1" applyAlignment="1">
      <x:alignment vertical="center"/>
    </x:xf>
    <x:xf numFmtId="209" fontId="19" fillId="0" borderId="0" xfId="0" applyNumberFormat="1" applyFont="1" applyFill="1" applyBorder="1" applyAlignment="1">
      <x:alignment horizontal="right" vertical="center"/>
    </x:xf>
    <x:xf numFmtId="207" fontId="12" fillId="7" borderId="0" xfId="0" applyNumberFormat="1" applyFont="1" applyFill="1" applyBorder="1" applyAlignment="1">
      <x:alignment horizontal="right" vertical="center"/>
    </x:xf>
    <x:xf numFmtId="207" fontId="16" fillId="7" borderId="0" xfId="0" applyNumberFormat="1" applyFont="1" applyFill="1" applyBorder="1" applyAlignment="1">
      <x:alignment horizontal="right" vertical="center"/>
    </x:xf>
    <x:xf numFmtId="210" fontId="16" fillId="7" borderId="0" xfId="0" applyNumberFormat="1" applyFont="1" applyFill="1" applyBorder="1" applyAlignment="1">
      <x:alignment horizontal="right" vertical="center"/>
    </x:xf>
    <x:xf numFmtId="207" fontId="12" fillId="5" borderId="0" xfId="0" applyNumberFormat="1" applyFont="1" applyFill="1" applyBorder="1" applyAlignment="1">
      <x:alignment vertical="center"/>
    </x:xf>
    <x:xf numFmtId="207" fontId="6" fillId="5" borderId="0" xfId="0" applyNumberFormat="1" applyFont="1" applyFill="1" applyBorder="1" applyAlignment="1">
      <x:alignment vertical="center"/>
    </x:xf>
    <x:xf numFmtId="205" fontId="12" fillId="0" borderId="0" xfId="0" applyNumberFormat="1" applyFont="1" applyFill="1" applyBorder="1" applyAlignment="1">
      <x:alignment vertical="center"/>
    </x:xf>
    <x:xf numFmtId="211" fontId="12" fillId="0" borderId="0" xfId="0" applyNumberFormat="1" applyFont="1" applyFill="1" applyBorder="1" applyAlignment="1">
      <x:alignment vertical="center"/>
    </x:xf>
    <x:xf numFmtId="212" fontId="12" fillId="0" borderId="0" xfId="0" applyNumberFormat="1" applyFont="1" applyFill="1" applyBorder="1" applyAlignment="1">
      <x:alignment vertical="center"/>
    </x:xf>
    <x:xf numFmtId="207" fontId="12" fillId="7" borderId="0" xfId="0" applyNumberFormat="1" applyFont="1" applyFill="1" applyBorder="1" applyAlignment="1">
      <x:alignment vertical="center"/>
    </x:xf>
    <x:xf numFmtId="205" fontId="12" fillId="7" borderId="0" xfId="0" applyNumberFormat="1" applyFont="1" applyFill="1" applyBorder="1" applyAlignment="1">
      <x:alignment vertical="center"/>
    </x:xf>
    <x:xf numFmtId="205" fontId="16" fillId="7" borderId="0" xfId="0" applyNumberFormat="1" applyFont="1" applyFill="1" applyBorder="1" applyAlignment="1">
      <x:alignment vertical="center"/>
    </x:xf>
    <x:xf numFmtId="211" fontId="12" fillId="7" borderId="0" xfId="0" applyNumberFormat="1" applyFont="1" applyFill="1" applyBorder="1" applyAlignment="1">
      <x:alignment vertical="center"/>
    </x:xf>
    <x:xf numFmtId="211" fontId="16" fillId="7" borderId="0" xfId="0" applyNumberFormat="1" applyFont="1" applyFill="1" applyBorder="1" applyAlignment="1">
      <x:alignment vertical="center"/>
    </x:xf>
    <x:xf numFmtId="212" fontId="12" fillId="7" borderId="0" xfId="0" applyNumberFormat="1" applyFont="1" applyFill="1" applyBorder="1" applyAlignment="1">
      <x:alignment vertical="center"/>
    </x:xf>
    <x:xf numFmtId="212" fontId="16" fillId="7" borderId="0" xfId="0" applyNumberFormat="1" applyFont="1" applyFill="1" applyBorder="1" applyAlignment="1">
      <x:alignment vertical="center"/>
    </x:xf>
    <x:xf numFmtId="207" fontId="1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4">
    <x:dxf>
      <x:font>
        <x:color rgb="FF9C2119"/>
      </x:font>
      <x:fill>
        <x:patternFill>
          <x:bgColor rgb="FFFDE9E7"/>
        </x:patternFill>
      </x:fill>
    </x:dxf>
    <x:dxf>
      <x:font>
        <x:color rgb="FF9C2119"/>
      </x:font>
      <x:fill>
        <x:patternFill>
          <x:bgColor rgb="FFFDE9E7"/>
        </x:patternFill>
      </x:fill>
    </x:dxf>
    <x:dxf>
      <x:font>
        <x:color rgb="FF9C2119"/>
      </x:font>
      <x:fill>
        <x:patternFill>
          <x:bgColor rgb="FFFDE9E7"/>
        </x:patternFill>
      </x:fill>
    </x:dxf>
    <x:dxf>
      <x:font>
        <x:color rgb="FF9C2119"/>
      </x:font>
      <x:fill>
        <x:patternFill>
          <x:bgColor rgb="FFFDE9E7"/>
        </x:patternFill>
      </x:fill>
    </x:dxf>
    <x:dxf>
      <x:font>
        <x:color rgb="FF9C2119"/>
      </x:font>
      <x:fill>
        <x:patternFill>
          <x:bgColor rgb="FFFDE9E7"/>
        </x:patternFill>
      </x:fill>
    </x:dxf>
    <x:dxf>
      <x:font>
        <x:color rgb="FF9C2119"/>
      </x:font>
      <x:fill>
        <x:patternFill>
          <x:bgColor rgb="FFFDE9E7"/>
        </x:patternFill>
      </x:fill>
    </x:dxf>
    <x:dxf>
      <x:font>
        <x:b/>
        <x:color rgb="FF8B5B00"/>
      </x:font>
      <x:fill>
        <x:patternFill>
          <x:bgColor rgb="FFFFF2CC"/>
        </x:patternFill>
      </x:fill>
    </x:dxf>
    <x:dxf>
      <x:font>
        <x:b/>
        <x:color rgb="FF9C2119"/>
      </x:font>
      <x:fill>
        <x:patternFill>
          <x:bgColor rgb="FFFDE9E7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f10b836f14f75" /><Relationship Type="http://schemas.openxmlformats.org/officeDocument/2006/relationships/theme" Target="/xl/theme/theme1.xml" Id="R2237a35308974bca" /><Relationship Type="http://schemas.openxmlformats.org/officeDocument/2006/relationships/sharedStrings" Target="/xl/sharedStrings.xml" Id="R79332ae4dcc44c55" /><Relationship Type="http://schemas.openxmlformats.org/officeDocument/2006/relationships/worksheet" Target="/xl/worksheets/sheet1.xml" Id="R09c5b403658a4bcc" /><Relationship Type="http://schemas.openxmlformats.org/officeDocument/2006/relationships/worksheet" Target="/xl/worksheets/sheet2.xml" Id="R69d8faf722a946b3" /><Relationship Type="http://schemas.openxmlformats.org/officeDocument/2006/relationships/worksheet" Target="/xl/worksheets/sheet3.xml" Id="R6223ac23d8664805" /><Relationship Type="http://schemas.openxmlformats.org/officeDocument/2006/relationships/worksheet" Target="/xl/worksheets/sheet4.xml" Id="Rdb00bc39bb734707" /><Relationship Type="http://schemas.openxmlformats.org/officeDocument/2006/relationships/worksheet" Target="/xl/worksheets/sheet5.xml" Id="R87e3d0306016478e" /><Relationship Type="http://schemas.openxmlformats.org/officeDocument/2006/relationships/worksheet" Target="/xl/worksheets/sheet6.xml" Id="Rcdd5e7f0be21438b" /><Relationship Type="http://schemas.openxmlformats.org/officeDocument/2006/relationships/worksheet" Target="/xl/worksheets/sheet7.xml" Id="Rc06e576b8f6045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54A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49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.200000047683716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2"/>
      <x:c r="B2" s="2"/>
      <x:c r="C2" s="3" t="str">
        <x:v>ITT research and curated compute economics</x:v>
      </x:c>
      <x:c r="D2" s="3"/>
      <x:c r="E2" s="3"/>
      <x:c r="F2" s="3"/>
      <x:c r="G2" s="3"/>
      <x:c r="H2" s="3"/>
      <x:c r="I2" s="3"/>
      <x:c r="J2" s="2"/>
    </x:row>
    <x:row r="3" ht="20" customHeight="1">
      <x:c r="A3" s="2"/>
      <x:c r="B3" s="2"/>
      <x:c r="C3" s="5" t="str">
        <x:v>Illustrative GBP assumptions. Partner operated infrastructure. Segment results are not consolidated.</x:v>
      </x:c>
      <x:c r="D3" s="5"/>
      <x:c r="E3" s="5"/>
      <x:c r="F3" s="5"/>
      <x:c r="G3" s="5"/>
      <x:c r="H3" s="5"/>
      <x:c r="I3" s="5"/>
      <x:c r="J3" s="2"/>
    </x:row>
    <x:row r="4" ht="20" customHeight="1">
      <x:c r="A4" s="2"/>
      <x:c r="B4" s="2"/>
      <x:c r="C4" s="5"/>
      <x:c r="D4" s="5"/>
      <x:c r="E4" s="5"/>
      <x:c r="F4" s="5"/>
      <x:c r="G4" s="5"/>
      <x:c r="H4" s="5"/>
      <x:c r="I4" s="5"/>
      <x:c r="J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0" customHeight="1">
      <x:c r="A6" s="2"/>
      <x:c r="B6" s="2"/>
      <x:c r="C6" s="2" t="str">
        <x:v>Selected scenario</x:v>
      </x:c>
      <x:c r="D6" s="2"/>
      <x:c r="E6" s="6" t="str">
        <x:f>'Assumptions'!F6</x:f>
        <x:v>Base</x:v>
      </x:c>
      <x:c r="F6" s="2"/>
      <x:c r="G6" s="2"/>
      <x:c r="H6" s="2"/>
      <x:c r="I6" s="2"/>
      <x:c r="J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26" customHeight="1">
      <x:c r="A8" s="2"/>
      <x:c r="B8" s="2"/>
      <x:c r="C8" s="50" t="str">
        <x:v>Managed service feasibility</x:v>
      </x:c>
      <x:c r="D8" s="50"/>
      <x:c r="E8" s="81"/>
      <x:c r="F8" s="50"/>
      <x:c r="G8" s="50"/>
      <x:c r="H8" s="50"/>
      <x:c r="I8" s="50"/>
      <x:c r="J8" s="2"/>
    </x:row>
    <x:row r="9" ht="23" customHeight="1">
      <x:c r="A9" s="2"/>
      <x:c r="B9" s="2"/>
      <x:c r="C9" s="45" t="str">
        <x:v>Year one customer billings</x:v>
      </x:c>
      <x:c r="D9" s="45" t="str">
        <x:v>GBP</x:v>
      </x:c>
      <x:c r="E9" s="66" t="n">
        <x:f>'Partner Service'!E15</x:f>
        <x:v>110000</x:v>
      </x:c>
      <x:c r="F9" s="45"/>
      <x:c r="G9" s="45"/>
      <x:c r="H9" s="45"/>
      <x:c r="I9" s="45"/>
      <x:c r="J9" s="2"/>
    </x:row>
    <x:row r="10" ht="23" customHeight="1">
      <x:c r="A10" s="2"/>
      <x:c r="B10" s="2"/>
      <x:c r="C10" s="45" t="str">
        <x:v>Year one managed provider bill</x:v>
      </x:c>
      <x:c r="D10" s="45" t="str">
        <x:v>GBP</x:v>
      </x:c>
      <x:c r="E10" s="66" t="n">
        <x:f>'Partner Service'!E16</x:f>
        <x:v>66000</x:v>
      </x:c>
      <x:c r="F10" s="45"/>
      <x:c r="G10" s="45"/>
      <x:c r="H10" s="45"/>
      <x:c r="I10" s="45"/>
      <x:c r="J10" s="2"/>
    </x:row>
    <x:row r="11" ht="23" customHeight="1">
      <x:c r="A11" s="2"/>
      <x:c r="B11" s="2"/>
      <x:c r="C11" s="45" t="str">
        <x:v>Year one contribution before community budget</x:v>
      </x:c>
      <x:c r="D11" s="45" t="str">
        <x:v>GBP</x:v>
      </x:c>
      <x:c r="E11" s="66" t="n">
        <x:f>'Partner Service'!E19</x:f>
        <x:v>12000</x:v>
      </x:c>
      <x:c r="F11" s="45"/>
      <x:c r="G11" s="45"/>
      <x:c r="H11" s="45"/>
      <x:c r="I11" s="45"/>
      <x:c r="J11" s="2"/>
    </x:row>
    <x:row r="12" ht="23" customHeight="1">
      <x:c r="A12" s="2"/>
      <x:c r="B12" s="2"/>
      <x:c r="C12" s="45" t="str">
        <x:v>Year one community spending</x:v>
      </x:c>
      <x:c r="D12" s="45" t="str">
        <x:v>GBP</x:v>
      </x:c>
      <x:c r="E12" s="66" t="n">
        <x:f>'Partner Service'!E20</x:f>
        <x:v>12000</x:v>
      </x:c>
      <x:c r="F12" s="45"/>
      <x:c r="G12" s="45"/>
      <x:c r="H12" s="45"/>
      <x:c r="I12" s="45"/>
      <x:c r="J12" s="2"/>
    </x:row>
    <x:row r="13" ht="23" customHeight="1">
      <x:c r="A13" s="2"/>
      <x:c r="B13" s="2"/>
      <x:c r="C13" s="63" t="str">
        <x:v>Year one contribution before tax</x:v>
      </x:c>
      <x:c r="D13" s="63" t="str">
        <x:v>GBP</x:v>
      </x:c>
      <x:c r="E13" s="64" t="n">
        <x:f>'Partner Service'!E21</x:f>
        <x:v>0</x:v>
      </x:c>
      <x:c r="F13" s="45"/>
      <x:c r="G13" s="45"/>
      <x:c r="H13" s="45"/>
      <x:c r="I13" s="45"/>
      <x:c r="J13" s="2"/>
    </x:row>
    <x:row r="14" ht="23" customHeight="1">
      <x:c r="A14" s="2"/>
      <x:c r="B14" s="2"/>
      <x:c r="C14" s="45" t="str">
        <x:v>Separate service opening cash assumed</x:v>
      </x:c>
      <x:c r="D14" s="45" t="str">
        <x:v>GBP</x:v>
      </x:c>
      <x:c r="E14" s="66" t="n">
        <x:f>'Assumptions'!E99</x:f>
        <x:v>60000</x:v>
      </x:c>
      <x:c r="F14" s="45"/>
      <x:c r="G14" s="45"/>
      <x:c r="H14" s="45"/>
      <x:c r="I14" s="45"/>
      <x:c r="J14" s="2"/>
    </x:row>
    <x:row r="15" ht="23" customHeight="1">
      <x:c r="A15" s="2"/>
      <x:c r="B15" s="2"/>
      <x:c r="C15" s="63" t="str">
        <x:v>Minimum service cash incl opening balance</x:v>
      </x:c>
      <x:c r="D15" s="63" t="str">
        <x:v>GBP</x:v>
      </x:c>
      <x:c r="E15" s="64" t="n">
        <x:f>'Partner Service'!E36</x:f>
        <x:v>33803.63805095887</x:v>
      </x:c>
      <x:c r="F15" s="45"/>
      <x:c r="G15" s="45"/>
      <x:c r="H15" s="45"/>
      <x:c r="I15" s="45"/>
      <x:c r="J15" s="2"/>
    </x:row>
    <x:row r="16" ht="23" customHeight="1">
      <x:c r="A16" s="2"/>
      <x:c r="B16" s="2"/>
      <x:c r="C16" s="63" t="str">
        <x:v>Five year service contribution before tax</x:v>
      </x:c>
      <x:c r="D16" s="63" t="str">
        <x:v>GBP</x:v>
      </x:c>
      <x:c r="E16" s="64" t="n">
        <x:f>'Partner Service'!E35</x:f>
        <x:v>16919.29323999997</x:v>
      </x:c>
      <x:c r="F16" s="45"/>
      <x:c r="G16" s="45"/>
      <x:c r="H16" s="45"/>
      <x:c r="I16" s="45"/>
      <x:c r="J16" s="2"/>
    </x:row>
    <x:row r="17" ht="23" customHeight="1">
      <x:c r="A17" s="2"/>
      <x:c r="B17" s="2"/>
      <x:c r="C17" s="45" t="str">
        <x:v>Final service cash before tax</x:v>
      </x:c>
      <x:c r="D17" s="45" t="str">
        <x:v>GBP</x:v>
      </x:c>
      <x:c r="E17" s="66" t="n">
        <x:f>'Partner Service'!E37</x:f>
        <x:v>33803.63805095887</x:v>
      </x:c>
      <x:c r="F17" s="45"/>
      <x:c r="G17" s="45"/>
      <x:c r="H17" s="45"/>
      <x:c r="I17" s="45"/>
      <x:c r="J17" s="2"/>
    </x:row>
    <x:row r="18" ht="23" customHeight="1">
      <x:c r="A18" s="2"/>
      <x:c r="B18" s="2"/>
      <x:c r="C18" s="45"/>
      <x:c r="D18" s="45"/>
      <x:c r="E18" s="66"/>
      <x:c r="F18" s="45"/>
      <x:c r="G18" s="45"/>
      <x:c r="H18" s="45"/>
      <x:c r="I18" s="45"/>
      <x:c r="J18" s="2"/>
    </x:row>
    <x:row r="19" ht="23" customHeight="1">
      <x:c r="A19" s="2"/>
      <x:c r="B19" s="2"/>
      <x:c r="C19" s="45"/>
      <x:c r="D19" s="45"/>
      <x:c r="E19" s="66"/>
      <x:c r="F19" s="45"/>
      <x:c r="G19" s="45"/>
      <x:c r="H19" s="45"/>
      <x:c r="I19" s="45"/>
      <x:c r="J19" s="2"/>
    </x:row>
    <x:row r="20" ht="26" customHeight="1">
      <x:c r="A20" s="2"/>
      <x:c r="B20" s="2"/>
      <x:c r="C20" s="50" t="str">
        <x:v>Institute research and membership</x:v>
      </x:c>
      <x:c r="D20" s="50"/>
      <x:c r="E20" s="81"/>
      <x:c r="F20" s="50"/>
      <x:c r="G20" s="50"/>
      <x:c r="H20" s="50"/>
      <x:c r="I20" s="50"/>
      <x:c r="J20" s="2"/>
    </x:row>
    <x:row r="21" ht="23" customHeight="1">
      <x:c r="A21" s="2"/>
      <x:c r="B21" s="2"/>
      <x:c r="C21" s="45" t="str">
        <x:v>Year one institute earned income</x:v>
      </x:c>
      <x:c r="D21" s="45" t="str">
        <x:v>GBP</x:v>
      </x:c>
      <x:c r="E21" s="66" t="n">
        <x:f>'Institute'!E17</x:f>
        <x:v>488000</x:v>
      </x:c>
      <x:c r="F21" s="45"/>
      <x:c r="G21" s="45"/>
      <x:c r="H21" s="45"/>
      <x:c r="I21" s="45"/>
      <x:c r="J21" s="2"/>
    </x:row>
    <x:row r="22" ht="23" customHeight="1">
      <x:c r="A22" s="2"/>
      <x:c r="B22" s="2"/>
      <x:c r="C22" s="45" t="str">
        <x:v>Year one grants assumed</x:v>
      </x:c>
      <x:c r="D22" s="45" t="str">
        <x:v>GBP</x:v>
      </x:c>
      <x:c r="E22" s="66" t="n">
        <x:f>'Institute'!E18</x:f>
        <x:v>300000</x:v>
      </x:c>
      <x:c r="F22" s="45"/>
      <x:c r="G22" s="45"/>
      <x:c r="H22" s="45"/>
      <x:c r="I22" s="45"/>
      <x:c r="J22" s="2"/>
    </x:row>
    <x:row r="23" ht="23" customHeight="1">
      <x:c r="A23" s="2"/>
      <x:c r="B23" s="2"/>
      <x:c r="C23" s="45" t="str">
        <x:v>Year one operating costs</x:v>
      </x:c>
      <x:c r="D23" s="45" t="str">
        <x:v>GBP</x:v>
      </x:c>
      <x:c r="E23" s="66" t="n">
        <x:f>'Institute'!E28</x:f>
        <x:v>567200</x:v>
      </x:c>
      <x:c r="F23" s="45"/>
      <x:c r="G23" s="45"/>
      <x:c r="H23" s="45"/>
      <x:c r="I23" s="45"/>
      <x:c r="J23" s="2"/>
    </x:row>
    <x:row r="24" ht="23" customHeight="1">
      <x:c r="A24" s="2"/>
      <x:c r="B24" s="2"/>
      <x:c r="C24" s="63" t="str">
        <x:v>Minimum institute cash before entity taxes</x:v>
      </x:c>
      <x:c r="D24" s="63" t="str">
        <x:v>GBP</x:v>
      </x:c>
      <x:c r="E24" s="64" t="n">
        <x:f>MIN('Institute'!E37:I37)</x:f>
        <x:v>340580.8219178082</x:v>
      </x:c>
      <x:c r="F24" s="45"/>
      <x:c r="G24" s="45"/>
      <x:c r="H24" s="45"/>
      <x:c r="I24" s="45"/>
      <x:c r="J24" s="2"/>
    </x:row>
    <x:row r="25" ht="23" customHeight="1">
      <x:c r="A25" s="2"/>
      <x:c r="B25" s="2"/>
      <x:c r="C25" s="45" t="str">
        <x:v>Year five institute cash before entity taxes</x:v>
      </x:c>
      <x:c r="D25" s="45" t="str">
        <x:v>GBP</x:v>
      </x:c>
      <x:c r="E25" s="66" t="n">
        <x:f>'Institute'!I37</x:f>
        <x:v>1434783.5101123285</x:v>
      </x:c>
      <x:c r="F25" s="45"/>
      <x:c r="G25" s="45"/>
      <x:c r="H25" s="45"/>
      <x:c r="I25" s="45"/>
      <x:c r="J25" s="2"/>
    </x:row>
    <x:row r="26" ht="23" customHeight="1">
      <x:c r="A26" s="2"/>
      <x:c r="B26" s="2"/>
      <x:c r="C26" s="45"/>
      <x:c r="D26" s="45"/>
      <x:c r="E26" s="66"/>
      <x:c r="F26" s="45"/>
      <x:c r="G26" s="45"/>
      <x:c r="H26" s="45"/>
      <x:c r="I26" s="45"/>
      <x:c r="J26" s="2"/>
    </x:row>
    <x:row r="27" ht="23" customHeight="1">
      <x:c r="A27" s="2"/>
      <x:c r="B27" s="2"/>
      <x:c r="C27" s="45"/>
      <x:c r="D27" s="45"/>
      <x:c r="E27" s="66"/>
      <x:c r="F27" s="45"/>
      <x:c r="G27" s="45"/>
      <x:c r="H27" s="45"/>
      <x:c r="I27" s="45"/>
      <x:c r="J27" s="2"/>
    </x:row>
    <x:row r="28" ht="26" customHeight="1">
      <x:c r="A28" s="2"/>
      <x:c r="B28" s="2"/>
      <x:c r="C28" s="50" t="str">
        <x:v>Founding programme and opening institute cash</x:v>
      </x:c>
      <x:c r="D28" s="50"/>
      <x:c r="E28" s="81"/>
      <x:c r="F28" s="50"/>
      <x:c r="G28" s="50"/>
      <x:c r="H28" s="50"/>
      <x:c r="I28" s="50"/>
      <x:c r="J28" s="2"/>
    </x:row>
    <x:row r="29" ht="23" customHeight="1">
      <x:c r="A29" s="2"/>
      <x:c r="B29" s="2"/>
      <x:c r="C29" s="63" t="str">
        <x:v>Nine month founding ask</x:v>
      </x:c>
      <x:c r="D29" s="63" t="str">
        <x:v>GBP</x:v>
      </x:c>
      <x:c r="E29" s="64" t="n">
        <x:f>'Founding Budget'!F24</x:f>
        <x:v>420000</x:v>
      </x:c>
      <x:c r="F29" s="45"/>
      <x:c r="G29" s="45"/>
      <x:c r="H29" s="45"/>
      <x:c r="I29" s="45"/>
      <x:c r="J29" s="2"/>
    </x:row>
    <x:row r="30" ht="23" customHeight="1">
      <x:c r="A30" s="2"/>
      <x:c r="B30" s="2"/>
      <x:c r="C30" s="45" t="str">
        <x:v>Additional opening institute working capital</x:v>
      </x:c>
      <x:c r="D30" s="45" t="str">
        <x:v>GBP</x:v>
      </x:c>
      <x:c r="E30" s="66" t="n">
        <x:f>'Assumptions'!$E$42</x:f>
        <x:v>200000</x:v>
      </x:c>
      <x:c r="F30" s="45"/>
      <x:c r="G30" s="45"/>
      <x:c r="H30" s="45"/>
      <x:c r="I30" s="45"/>
      <x:c r="J30" s="2"/>
    </x:row>
    <x:row r="31" ht="23" customHeight="1">
      <x:c r="A31" s="2"/>
      <x:c r="B31" s="2"/>
      <x:c r="C31" s="45"/>
      <x:c r="D31" s="45"/>
      <x:c r="E31" s="66"/>
      <x:c r="F31" s="45"/>
      <x:c r="G31" s="45"/>
      <x:c r="H31" s="45"/>
      <x:c r="I31" s="45"/>
      <x:c r="J31" s="2"/>
    </x:row>
    <x:row r="32" ht="23" customHeight="1">
      <x:c r="A32" s="2"/>
      <x:c r="B32" s="2"/>
      <x:c r="C32" s="45"/>
      <x:c r="D32" s="45"/>
      <x:c r="E32" s="66"/>
      <x:c r="F32" s="45"/>
      <x:c r="G32" s="45"/>
      <x:c r="H32" s="45"/>
      <x:c r="I32" s="45"/>
      <x:c r="J32" s="2"/>
    </x:row>
    <x:row r="33" ht="26" customHeight="1">
      <x:c r="A33" s="2"/>
      <x:c r="B33" s="2"/>
      <x:c r="C33" s="50" t="str">
        <x:v>Optional managed GPU ownership investment</x:v>
      </x:c>
      <x:c r="D33" s="50"/>
      <x:c r="E33" s="81"/>
      <x:c r="F33" s="50"/>
      <x:c r="G33" s="50"/>
      <x:c r="H33" s="50"/>
      <x:c r="I33" s="50"/>
      <x:c r="J33" s="2"/>
    </x:row>
    <x:row r="34" ht="23" customHeight="1">
      <x:c r="A34" s="2"/>
      <x:c r="B34" s="2"/>
      <x:c r="C34" s="45" t="str">
        <x:v>Investor capital</x:v>
      </x:c>
      <x:c r="D34" s="45" t="str">
        <x:v>GBP</x:v>
      </x:c>
      <x:c r="E34" s="66" t="n">
        <x:f>'Compute'!E11</x:f>
        <x:v>424000</x:v>
      </x:c>
      <x:c r="F34" s="45"/>
      <x:c r="G34" s="45"/>
      <x:c r="H34" s="45"/>
      <x:c r="I34" s="45"/>
      <x:c r="J34" s="2"/>
    </x:row>
    <x:row r="35" ht="23" customHeight="1">
      <x:c r="A35" s="2"/>
      <x:c r="B35" s="2"/>
      <x:c r="C35" s="45" t="str">
        <x:v>Asset grant assumption</x:v>
      </x:c>
      <x:c r="D35" s="45" t="str">
        <x:v>GBP</x:v>
      </x:c>
      <x:c r="E35" s="66" t="n">
        <x:f>'Compute'!E10</x:f>
        <x:v>156000</x:v>
      </x:c>
      <x:c r="F35" s="45"/>
      <x:c r="G35" s="45"/>
      <x:c r="H35" s="45"/>
      <x:c r="I35" s="45"/>
      <x:c r="J35" s="2"/>
    </x:row>
    <x:row r="36" ht="23" customHeight="1">
      <x:c r="A36" s="2"/>
      <x:c r="B36" s="2"/>
      <x:c r="C36" s="45" t="str">
        <x:v>Maximum total payment</x:v>
      </x:c>
      <x:c r="D36" s="45" t="str">
        <x:v>GBP</x:v>
      </x:c>
      <x:c r="E36" s="66" t="n">
        <x:f>'Compute'!E12</x:f>
        <x:v>636000</x:v>
      </x:c>
      <x:c r="F36" s="45"/>
      <x:c r="G36" s="45"/>
      <x:c r="H36" s="45"/>
      <x:c r="I36" s="45"/>
      <x:c r="J36" s="2"/>
    </x:row>
    <x:row r="37" ht="23" customHeight="1">
      <x:c r="A37" s="2"/>
      <x:c r="B37" s="2"/>
      <x:c r="C37" s="45" t="str">
        <x:v>Five year investor distributions</x:v>
      </x:c>
      <x:c r="D37" s="45" t="str">
        <x:v>GBP</x:v>
      </x:c>
      <x:c r="E37" s="66" t="n">
        <x:f>SUM('Compute'!E42:I42)</x:f>
        <x:v>437137.4841508054</x:v>
      </x:c>
      <x:c r="F37" s="45"/>
      <x:c r="G37" s="45"/>
      <x:c r="H37" s="45"/>
      <x:c r="I37" s="45"/>
      <x:c r="J37" s="2"/>
    </x:row>
    <x:row r="38" ht="23" customHeight="1">
      <x:c r="A38" s="2"/>
      <x:c r="B38" s="2"/>
      <x:c r="C38" s="63" t="str">
        <x:v>Five year distributed cash multiple</x:v>
      </x:c>
      <x:c r="D38" s="63" t="str">
        <x:v>x</x:v>
      </x:c>
      <x:c r="E38" s="87" t="n">
        <x:f>E37/E34</x:f>
        <x:v>1.0309846324311447</x:v>
      </x:c>
      <x:c r="F38" s="45"/>
      <x:c r="G38" s="45"/>
      <x:c r="H38" s="45"/>
      <x:c r="I38" s="45"/>
      <x:c r="J38" s="2"/>
    </x:row>
    <x:row r="39" ht="23" customHeight="1">
      <x:c r="A39" s="2"/>
      <x:c r="B39" s="2"/>
      <x:c r="C39" s="63" t="str">
        <x:v>Five year cash flow IRR</x:v>
      </x:c>
      <x:c r="D39" s="63" t="str">
        <x:v>%</x:v>
      </x:c>
      <x:c r="E39" s="89" t="n">
        <x:f>IF(SUM('Compute'!E49:I49)&gt;0,IRR('Compute'!D49:I49),"N/M")</x:f>
        <x:v>0.011461192179219051</x:v>
      </x:c>
      <x:c r="F39" s="45"/>
      <x:c r="G39" s="45"/>
      <x:c r="H39" s="45"/>
      <x:c r="I39" s="45"/>
      <x:c r="J39" s="2"/>
    </x:row>
    <x:row r="40" ht="23" customHeight="1">
      <x:c r="A40" s="2"/>
      <x:c r="B40" s="2"/>
      <x:c r="C40" s="45" t="str">
        <x:v>Maximum entitlement unpaid at year five</x:v>
      </x:c>
      <x:c r="D40" s="45" t="str">
        <x:v>GBP</x:v>
      </x:c>
      <x:c r="E40" s="66" t="n">
        <x:f>'Compute'!I44</x:f>
        <x:v>198862.5158491946</x:v>
      </x:c>
      <x:c r="F40" s="45"/>
      <x:c r="G40" s="45"/>
      <x:c r="H40" s="45"/>
      <x:c r="I40" s="45"/>
      <x:c r="J40" s="2"/>
    </x:row>
    <x:row r="41" ht="23" customHeight="1">
      <x:c r="A41" s="2"/>
      <x:c r="B41" s="2"/>
      <x:c r="C41" s="45" t="str">
        <x:v>Cap first reached within model</x:v>
      </x:c>
      <x:c r="D41" s="45" t="str">
        <x:v>year</x:v>
      </x:c>
      <x:c r="E41" s="66" t="str">
        <x:f>IF('Compute'!E44&lt;0.01,1,IF('Compute'!F44&lt;0.01,2,IF('Compute'!G44&lt;0.01,3,IF('Compute'!H44&lt;0.01,4,IF('Compute'!I44&lt;0.01,5,"Not reached")))))</x:f>
        <x:v>Not reached</x:v>
      </x:c>
      <x:c r="F41" s="45"/>
      <x:c r="G41" s="45"/>
      <x:c r="H41" s="45"/>
      <x:c r="I41" s="45"/>
      <x:c r="J41" s="2"/>
    </x:row>
    <x:row r="42" ht="23" customHeight="1">
      <x:c r="A42" s="2"/>
      <x:c r="B42" s="2"/>
      <x:c r="C42" s="45"/>
      <x:c r="D42" s="45"/>
      <x:c r="E42" s="66"/>
      <x:c r="F42" s="45"/>
      <x:c r="G42" s="45"/>
      <x:c r="H42" s="45"/>
      <x:c r="I42" s="45"/>
      <x:c r="J42" s="2"/>
    </x:row>
    <x:row r="43" ht="23" customHeight="1">
      <x:c r="A43" s="2"/>
      <x:c r="B43" s="2"/>
      <x:c r="C43" s="45" t="str">
        <x:v>Restricted replacement reserve</x:v>
      </x:c>
      <x:c r="D43" s="45" t="str">
        <x:v>GBP</x:v>
      </x:c>
      <x:c r="E43" s="66" t="n">
        <x:f>'Compute'!I40</x:f>
        <x:v>127222.2160754688</x:v>
      </x:c>
      <x:c r="F43" s="45"/>
      <x:c r="G43" s="45"/>
      <x:c r="H43" s="45"/>
      <x:c r="I43" s="45"/>
      <x:c r="J43" s="2"/>
    </x:row>
    <x:row r="44" ht="23" customHeight="1">
      <x:c r="C44" s="45" t="str">
        <x:v>Assumed next hardware cycle</x:v>
      </x:c>
      <x:c r="D44" s="45" t="str">
        <x:v>GBP</x:v>
      </x:c>
      <x:c r="E44" s="66" t="n">
        <x:f>'Assumptions'!$E$30</x:f>
        <x:v>520000</x:v>
      </x:c>
      <x:c r="F44" s="45"/>
      <x:c r="G44" s="45"/>
      <x:c r="H44" s="45"/>
      <x:c r="I44" s="45"/>
    </x:row>
    <x:row r="45" ht="23" customHeight="1">
      <x:c r="C45" s="63" t="str">
        <x:v>Unfunded renewal amount</x:v>
      </x:c>
      <x:c r="D45" s="63" t="str">
        <x:v>GBP</x:v>
      </x:c>
      <x:c r="E45" s="64" t="n">
        <x:f>MAX(0,E44-E43)</x:f>
        <x:v>392777.7839245312</x:v>
      </x:c>
      <x:c r="F45" s="45"/>
      <x:c r="G45" s="45"/>
      <x:c r="H45" s="45"/>
      <x:c r="I45" s="45"/>
    </x:row>
    <x:row r="46" ht="23" customHeight="1">
      <x:c r="C46" s="63" t="str">
        <x:v>Renewal funded</x:v>
      </x:c>
      <x:c r="D46" s="63" t="str">
        <x:v>%</x:v>
      </x:c>
      <x:c r="E46" s="91" t="n">
        <x:f>E43/E44</x:f>
        <x:v>0.24465810783744</x:v>
      </x:c>
      <x:c r="F46" s="45"/>
      <x:c r="G46" s="45"/>
      <x:c r="H46" s="45"/>
      <x:c r="I46" s="45"/>
    </x:row>
    <x:row r="47" ht="23" customHeight="1">
      <x:c r="C47" s="45" t="str">
        <x:v>Minimum asset cash balance</x:v>
      </x:c>
      <x:c r="D47" s="45" t="str">
        <x:v>GBP</x:v>
      </x:c>
      <x:c r="E47" s="66" t="n">
        <x:f>MIN('Compute'!E46:I46)</x:f>
        <x:v>60000</x:v>
      </x:c>
      <x:c r="F47" s="45"/>
      <x:c r="G47" s="45"/>
      <x:c r="H47" s="45"/>
      <x:c r="I47" s="45"/>
    </x:row>
    <x:row r="48" ht="23" customHeight="1">
      <x:c r="C48" s="45"/>
      <x:c r="D48" s="45"/>
      <x:c r="E48" s="66"/>
      <x:c r="F48" s="45"/>
      <x:c r="G48" s="45"/>
      <x:c r="H48" s="45"/>
      <x:c r="I48" s="45"/>
    </x:row>
    <x:row r="49" ht="23" customHeight="1">
      <x:c r="C49" s="45"/>
      <x:c r="D49" s="45"/>
      <x:c r="E49" s="66"/>
      <x:c r="F49" s="45"/>
      <x:c r="G49" s="45"/>
      <x:c r="H49" s="45"/>
      <x:c r="I49" s="45"/>
    </x:row>
    <x:row r="50" ht="30" customHeight="1">
      <x:c r="C50" s="60" t="str">
        <x:v>Leased service, research operations and managed ownership have separate customers, costs and funding assumptions.</x:v>
      </x:c>
      <x:c r="D50" s="60"/>
      <x:c r="E50" s="92"/>
      <x:c r="F50" s="60"/>
      <x:c r="G50" s="60"/>
      <x:c r="H50" s="60"/>
      <x:c r="I50" s="60"/>
    </x:row>
    <x:row r="51" ht="23" customHeight="1">
      <x:c r="C51" s="45"/>
      <x:c r="D51" s="45"/>
      <x:c r="E51" s="66"/>
      <x:c r="F51" s="45"/>
      <x:c r="G51" s="45"/>
      <x:c r="H51" s="45"/>
      <x:c r="I51" s="45"/>
    </x:row>
    <x:row r="52" ht="30" customHeight="1">
      <x:c r="C52" s="60" t="str">
        <x:v>No data centre construction or facility operation by ITT. Donated compute is not cash revenue or guaranteed capacity.</x:v>
      </x:c>
      <x:c r="D52" s="60"/>
      <x:c r="E52" s="92"/>
      <x:c r="F52" s="60"/>
      <x:c r="G52" s="60"/>
      <x:c r="H52" s="60"/>
      <x:c r="I52" s="60"/>
    </x:row>
    <x:row r="53" ht="23" customHeight="1">
      <x:c r="C53" s="45"/>
      <x:c r="D53" s="45"/>
      <x:c r="E53" s="66"/>
      <x:c r="F53" s="45"/>
      <x:c r="G53" s="45"/>
      <x:c r="H53" s="45"/>
      <x:c r="I53" s="45"/>
    </x:row>
    <x:row r="54" ht="30" customHeight="1">
      <x:c r="C54" s="60" t="str">
        <x:v>Do not add these segment results without eliminating overlaps. No supplier, customer or funding commitment is verified.</x:v>
      </x:c>
      <x:c r="D54" s="60"/>
      <x:c r="E54" s="92"/>
      <x:c r="F54" s="60"/>
      <x:c r="G54" s="60"/>
      <x:c r="H54" s="60"/>
      <x:c r="I54" s="60"/>
    </x:row>
    <x:row r="55" ht="23" customHeight="1">
      <x:c r="C55" s="45"/>
      <x:c r="D55" s="45"/>
      <x:c r="E55" s="66"/>
      <x:c r="F55" s="45"/>
      <x:c r="G55" s="45"/>
      <x:c r="H55" s="45"/>
      <x:c r="I55" s="45"/>
    </x:row>
    <x:row r="56" ht="23" customHeight="1">
      <x:c r="C56" s="45"/>
      <x:c r="D56" s="45"/>
      <x:c r="E56" s="66"/>
      <x:c r="F56" s="45"/>
      <x:c r="G56" s="45"/>
      <x:c r="H56" s="45"/>
      <x:c r="I56" s="45"/>
    </x:row>
    <x:row r="57" ht="23" customHeight="1">
      <x:c r="C57" s="45"/>
      <x:c r="D57" s="45"/>
      <x:c r="E57" s="66"/>
      <x:c r="F57" s="45"/>
      <x:c r="G57" s="45"/>
      <x:c r="H57" s="45"/>
      <x:c r="I57" s="45"/>
    </x:row>
    <x:row r="58" ht="23" customHeight="1">
      <x:c r="C58" s="45"/>
      <x:c r="D58" s="45"/>
      <x:c r="E58" s="66"/>
      <x:c r="F58" s="45"/>
      <x:c r="G58" s="45"/>
      <x:c r="H58" s="45"/>
      <x:c r="I58" s="45"/>
    </x:row>
  </x:sheetData>
  <x:mergeCells>
    <x:mergeCell ref="C2:I2"/>
    <x:mergeCell ref="C3:I4"/>
  </x:mergeCells>
  <x:conditionalFormatting sqref="E8:I95">
    <x:cfRule type="cellIs" dxfId="0" priority="1" operator="lessThan">
      <x:formula>0</x:formula>
    </x:cfRule>
  </x:conditionalFormatting>
  <x:conditionalFormatting sqref="E13:E13">
    <x:cfRule type="cellIs" dxfId="10" priority="2" operator="lessThan">
      <x:formula>0</x:formula>
    </x:cfRule>
  </x:conditionalFormatting>
  <x:conditionalFormatting sqref="E15:E15">
    <x:cfRule type="cellIs" dxfId="11" priority="3" operator="lessThan">
      <x:formula>0</x:formula>
    </x:cfRule>
  </x:conditionalFormatting>
  <x:conditionalFormatting sqref="E17:E17">
    <x:cfRule type="cellIs" dxfId="12" priority="4" operator="lessThan">
      <x:formula>0</x:formula>
    </x:cfRule>
  </x:conditionalFormatting>
  <x:conditionalFormatting sqref="E24:E24">
    <x:cfRule type="cellIs" dxfId="13" priority="5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8354A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49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.200000047683716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2"/>
      <x:c r="B2" s="2"/>
      <x:c r="C2" s="3" t="str">
        <x:v>Assumptions and scenario control</x:v>
      </x:c>
      <x:c r="D2" s="3"/>
      <x:c r="E2" s="3"/>
      <x:c r="F2" s="3"/>
      <x:c r="G2" s="3"/>
      <x:c r="H2" s="3"/>
      <x:c r="I2" s="3"/>
      <x:c r="J2" s="2"/>
    </x:row>
    <x:row r="3" ht="20" customHeight="1">
      <x:c r="A3" s="2"/>
      <x:c r="B3" s="2"/>
      <x:c r="C3" s="5" t="str">
        <x:v>Blue cells are editable inputs. All commercial figures are unvalidated planning assumptions, not supplier quotes or commitments.</x:v>
      </x:c>
      <x:c r="D3" s="5"/>
      <x:c r="E3" s="5"/>
      <x:c r="F3" s="5"/>
      <x:c r="G3" s="5"/>
      <x:c r="H3" s="5"/>
      <x:c r="I3" s="5"/>
      <x:c r="J3" s="2"/>
    </x:row>
    <x:row r="4" ht="20" customHeight="1">
      <x:c r="A4" s="2"/>
      <x:c r="B4" s="2"/>
      <x:c r="C4" s="5"/>
      <x:c r="D4" s="5"/>
      <x:c r="E4" s="5"/>
      <x:c r="F4" s="5"/>
      <x:c r="G4" s="5"/>
      <x:c r="H4" s="5"/>
      <x:c r="I4" s="5"/>
      <x:c r="J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0" customHeight="1">
      <x:c r="A6" s="2"/>
      <x:c r="B6" s="2"/>
      <x:c r="C6" s="2" t="str">
        <x:v>Selected scenario</x:v>
      </x:c>
      <x:c r="D6" s="2"/>
      <x:c r="E6" s="9" t="n">
        <x:v>2</x:v>
      </x:c>
      <x:c r="F6" s="2" t="str">
        <x:f>CHOOSE(E6,"Downside","Base","Upside")</x:f>
        <x:v>Base</x:v>
      </x:c>
      <x:c r="G6" s="2"/>
      <x:c r="H6" s="2"/>
      <x:c r="I6" s="2"/>
      <x:c r="J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24" customHeight="1">
      <x:c r="A8" s="2"/>
      <x:c r="B8" s="2"/>
      <x:c r="C8" s="12" t="str">
        <x:v>Optional managed GPU ownership and institute inputs</x:v>
      </x:c>
      <x:c r="D8" s="12"/>
      <x:c r="E8" s="13"/>
      <x:c r="F8" s="13"/>
      <x:c r="G8" s="13"/>
      <x:c r="H8" s="13"/>
      <x:c r="I8" s="13"/>
      <x:c r="J8" s="2"/>
    </x:row>
    <x:row r="9" ht="20" customHeight="1">
      <x:c r="A9" s="2"/>
      <x:c r="B9" s="2"/>
      <x:c r="C9" s="2" t="str">
        <x:v>GPU count</x:v>
      </x:c>
      <x:c r="D9" s="2" t="str">
        <x:v>units</x:v>
      </x:c>
      <x:c r="E9" s="14" t="n">
        <x:v>16</x:v>
      </x:c>
      <x:c r="F9" s="15" t="str">
        <x:v>Assumption A01 • replace with evidence</x:v>
      </x:c>
      <x:c r="G9" s="15"/>
      <x:c r="H9" s="15"/>
      <x:c r="I9" s="15"/>
      <x:c r="J9" s="2"/>
    </x:row>
    <x:row r="10" ht="20" customHeight="1">
      <x:c r="A10" s="2"/>
      <x:c r="B10" s="2"/>
      <x:c r="C10" s="2" t="str">
        <x:v>Purchase cost per GPU</x:v>
      </x:c>
      <x:c r="D10" s="2" t="str">
        <x:v>GBP</x:v>
      </x:c>
      <x:c r="E10" s="14" t="n">
        <x:v>30000</x:v>
      </x:c>
      <x:c r="F10" s="15" t="str">
        <x:v>Assumption A02 • replace with evidence</x:v>
      </x:c>
      <x:c r="G10" s="15"/>
      <x:c r="H10" s="15"/>
      <x:c r="I10" s="15"/>
      <x:c r="J10" s="2"/>
    </x:row>
    <x:row r="11" ht="20" customHeight="1">
      <x:c r="A11" s="2"/>
      <x:c r="B11" s="2"/>
      <x:c r="C11" s="2" t="str">
        <x:v>Other installed costs</x:v>
      </x:c>
      <x:c r="D11" s="2" t="str">
        <x:v>GBP</x:v>
      </x:c>
      <x:c r="E11" s="14" t="n">
        <x:v>40000</x:v>
      </x:c>
      <x:c r="F11" s="15" t="str">
        <x:v>Assumption A03 • replace with evidence</x:v>
      </x:c>
      <x:c r="G11" s="15"/>
      <x:c r="H11" s="15"/>
      <x:c r="I11" s="15"/>
      <x:c r="J11" s="2"/>
    </x:row>
    <x:row r="12" ht="20" customHeight="1">
      <x:c r="A12" s="2"/>
      <x:c r="B12" s="2"/>
      <x:c r="C12" s="2" t="str">
        <x:v>Opening cash and liquidity floor</x:v>
      </x:c>
      <x:c r="D12" s="2" t="str">
        <x:v>GBP</x:v>
      </x:c>
      <x:c r="E12" s="14" t="n">
        <x:v>60000</x:v>
      </x:c>
      <x:c r="F12" s="15" t="str">
        <x:v>Assumption A04 • replace with evidence</x:v>
      </x:c>
      <x:c r="G12" s="15"/>
      <x:c r="H12" s="15"/>
      <x:c r="I12" s="15"/>
      <x:c r="J12" s="2"/>
    </x:row>
    <x:row r="13" ht="20" customHeight="1">
      <x:c r="A13" s="2"/>
      <x:c r="B13" s="2"/>
      <x:c r="C13" s="2" t="str">
        <x:v>Grant share of installed asset cost</x:v>
      </x:c>
      <x:c r="D13" s="2" t="str">
        <x:v>%</x:v>
      </x:c>
      <x:c r="E13" s="16" t="n">
        <x:v>0.3</x:v>
      </x:c>
      <x:c r="F13" s="15" t="str">
        <x:v>Assumption A05 • replace with evidence</x:v>
      </x:c>
      <x:c r="G13" s="15"/>
      <x:c r="H13" s="15"/>
      <x:c r="I13" s="15"/>
      <x:c r="J13" s="2"/>
    </x:row>
    <x:row r="14" ht="20" customHeight="1">
      <x:c r="A14" s="2"/>
      <x:c r="B14" s="2"/>
      <x:c r="C14" s="2" t="str">
        <x:v>Maximum total investor payment</x:v>
      </x:c>
      <x:c r="D14" s="2" t="str">
        <x:v>x capital</x:v>
      </x:c>
      <x:c r="E14" s="17" t="n">
        <x:v>1.5</x:v>
      </x:c>
      <x:c r="F14" s="15" t="str">
        <x:v>Assumption A06 • replace with evidence</x:v>
      </x:c>
      <x:c r="G14" s="15"/>
      <x:c r="H14" s="15"/>
      <x:c r="I14" s="15"/>
      <x:c r="J14" s="2"/>
    </x:row>
    <x:row r="15" ht="20" customHeight="1">
      <x:c r="A15" s="2"/>
      <x:c r="B15" s="2"/>
      <x:c r="C15" s="2" t="str">
        <x:v>Annual available hours</x:v>
      </x:c>
      <x:c r="D15" s="2" t="str">
        <x:v>%</x:v>
      </x:c>
      <x:c r="E15" s="16" t="n">
        <x:v>0.95</x:v>
      </x:c>
      <x:c r="F15" s="15" t="str">
        <x:v>Assumption A07 • replace with evidence</x:v>
      </x:c>
      <x:c r="G15" s="15"/>
      <x:c r="H15" s="15"/>
      <x:c r="I15" s="15"/>
      <x:c r="J15" s="2"/>
    </x:row>
    <x:row r="16" ht="20" customHeight="1">
      <x:c r="A16" s="2"/>
      <x:c r="B16" s="2"/>
      <x:c r="C16" s="2" t="str">
        <x:v>Free research share of available hours</x:v>
      </x:c>
      <x:c r="D16" s="2" t="str">
        <x:v>%</x:v>
      </x:c>
      <x:c r="E16" s="16" t="n">
        <x:v>0.1</x:v>
      </x:c>
      <x:c r="F16" s="15" t="str">
        <x:v>Assumption A08 • replace with evidence</x:v>
      </x:c>
      <x:c r="G16" s="15"/>
      <x:c r="H16" s="15"/>
      <x:c r="I16" s="15"/>
      <x:c r="J16" s="2"/>
    </x:row>
    <x:row r="17" ht="20" customHeight="1">
      <x:c r="A17" s="2"/>
      <x:c r="B17" s="2"/>
      <x:c r="C17" s="2" t="str">
        <x:v>Busy IT load per GPU incl host allocation</x:v>
      </x:c>
      <x:c r="D17" s="2" t="str">
        <x:v>kW</x:v>
      </x:c>
      <x:c r="E17" s="18" t="n">
        <x:v>0.85</x:v>
      </x:c>
      <x:c r="F17" s="15" t="str">
        <x:v>Assumption A09 • replace with evidence</x:v>
      </x:c>
      <x:c r="G17" s="15"/>
      <x:c r="H17" s="15"/>
      <x:c r="I17" s="15"/>
      <x:c r="J17" s="2"/>
    </x:row>
    <x:row r="18" ht="20" customHeight="1">
      <x:c r="A18" s="2"/>
      <x:c r="B18" s="2"/>
      <x:c r="C18" s="2" t="str">
        <x:v>Idle IT load per GPU incl host allocation</x:v>
      </x:c>
      <x:c r="D18" s="2" t="str">
        <x:v>kW</x:v>
      </x:c>
      <x:c r="E18" s="18" t="n">
        <x:v>0.25</x:v>
      </x:c>
      <x:c r="F18" s="15" t="str">
        <x:v>Assumption A10 • replace with evidence</x:v>
      </x:c>
      <x:c r="G18" s="15"/>
      <x:c r="H18" s="15"/>
      <x:c r="I18" s="15"/>
      <x:c r="J18" s="2"/>
    </x:row>
    <x:row r="19" ht="20" customHeight="1">
      <x:c r="A19" s="2"/>
      <x:c r="B19" s="2"/>
      <x:c r="C19" s="2" t="str">
        <x:v>Facility power multiplier</x:v>
      </x:c>
      <x:c r="D19" s="2" t="str">
        <x:v>x</x:v>
      </x:c>
      <x:c r="E19" s="17" t="n">
        <x:v>1.2</x:v>
      </x:c>
      <x:c r="F19" s="15" t="str">
        <x:v>Assumption A11 • replace with evidence</x:v>
      </x:c>
      <x:c r="G19" s="15"/>
      <x:c r="H19" s="15"/>
      <x:c r="I19" s="15"/>
      <x:c r="J19" s="2"/>
    </x:row>
    <x:row r="20" ht="20" customHeight="1">
      <x:c r="A20" s="2"/>
      <x:c r="B20" s="2"/>
      <x:c r="C20" s="2" t="str">
        <x:v>Year one electricity tariff</x:v>
      </x:c>
      <x:c r="D20" s="2" t="str">
        <x:v>GBP/kWh</x:v>
      </x:c>
      <x:c r="E20" s="18" t="n">
        <x:v>0.1</x:v>
      </x:c>
      <x:c r="F20" s="15" t="str">
        <x:v>Assumption A12 • replace with evidence</x:v>
      </x:c>
      <x:c r="G20" s="15"/>
      <x:c r="H20" s="15"/>
      <x:c r="I20" s="15"/>
      <x:c r="J20" s="2"/>
    </x:row>
    <x:row r="21" ht="20" customHeight="1">
      <x:c r="A21" s="2"/>
      <x:c r="B21" s="2"/>
      <x:c r="C21" s="2" t="str">
        <x:v>Provider hosting ex power and upkeep</x:v>
      </x:c>
      <x:c r="D21" s="2" t="str">
        <x:v>GBP</x:v>
      </x:c>
      <x:c r="E21" s="14" t="n">
        <x:v>48000</x:v>
      </x:c>
      <x:c r="F21" s="15" t="str">
        <x:v>Itemised provider allowance; do not add to an all-in lease rate.</x:v>
      </x:c>
      <x:c r="G21" s="15"/>
      <x:c r="H21" s="15"/>
      <x:c r="I21" s="15"/>
      <x:c r="J21" s="2"/>
    </x:row>
    <x:row r="22" ht="20" customHeight="1">
      <x:c r="A22" s="2"/>
      <x:c r="B22" s="2"/>
      <x:c r="C22" s="2" t="str">
        <x:v>Insurance and maintenance / asset cost</x:v>
      </x:c>
      <x:c r="D22" s="2" t="str">
        <x:v>%</x:v>
      </x:c>
      <x:c r="E22" s="16" t="n">
        <x:v>0.02</x:v>
      </x:c>
      <x:c r="F22" s="15" t="str">
        <x:v>Assumption A14 • replace with evidence</x:v>
      </x:c>
      <x:c r="G22" s="15"/>
      <x:c r="H22" s="15"/>
      <x:c r="I22" s="15"/>
      <x:c r="J22" s="2"/>
    </x:row>
    <x:row r="23" ht="20" customHeight="1">
      <x:c r="A23" s="2"/>
      <x:c r="B23" s="2"/>
      <x:c r="C23" s="2" t="str">
        <x:v>External operator fee / sales</x:v>
      </x:c>
      <x:c r="D23" s="2" t="str">
        <x:v>%</x:v>
      </x:c>
      <x:c r="E23" s="16" t="n">
        <x:v>0.08</x:v>
      </x:c>
      <x:c r="F23" s="15" t="str">
        <x:v>Assumption A15 • replace with evidence</x:v>
      </x:c>
      <x:c r="G23" s="15"/>
      <x:c r="H23" s="15"/>
      <x:c r="I23" s="15"/>
      <x:c r="J23" s="2"/>
    </x:row>
    <x:row r="24" ht="20" customHeight="1">
      <x:c r="A24" s="2"/>
      <x:c r="B24" s="2"/>
      <x:c r="C24" s="2" t="str">
        <x:v>Target renewal provision / sales</x:v>
      </x:c>
      <x:c r="D24" s="2" t="str">
        <x:v>%</x:v>
      </x:c>
      <x:c r="E24" s="16" t="n">
        <x:v>0.12</x:v>
      </x:c>
      <x:c r="F24" s="15" t="str">
        <x:v>Assumption A16 • replace with evidence</x:v>
      </x:c>
      <x:c r="G24" s="15"/>
      <x:c r="H24" s="15"/>
      <x:c r="I24" s="15"/>
      <x:c r="J24" s="2"/>
    </x:row>
    <x:row r="25" ht="20" customHeight="1">
      <x:c r="A25" s="2"/>
      <x:c r="B25" s="2"/>
      <x:c r="C25" s="2" t="str">
        <x:v>Annual cost inflation</x:v>
      </x:c>
      <x:c r="D25" s="2" t="str">
        <x:v>%</x:v>
      </x:c>
      <x:c r="E25" s="16" t="n">
        <x:v>0.03</x:v>
      </x:c>
      <x:c r="F25" s="15" t="str">
        <x:v>Assumption A17 • replace with evidence</x:v>
      </x:c>
      <x:c r="G25" s="15"/>
      <x:c r="H25" s="15"/>
      <x:c r="I25" s="15"/>
      <x:c r="J25" s="2"/>
    </x:row>
    <x:row r="26" ht="20" customHeight="1">
      <x:c r="A26" s="2"/>
      <x:c r="B26" s="2"/>
      <x:c r="C26" s="2" t="str">
        <x:v>Illustrative asset cash tax rate</x:v>
      </x:c>
      <x:c r="D26" s="2" t="str">
        <x:v>%</x:v>
      </x:c>
      <x:c r="E26" s="16" t="n">
        <x:v>0.25</x:v>
      </x:c>
      <x:c r="F26" s="15" t="str">
        <x:v>Assumption A18 • replace with evidence</x:v>
      </x:c>
      <x:c r="G26" s="15"/>
      <x:c r="H26" s="15"/>
      <x:c r="I26" s="15"/>
      <x:c r="J26" s="2"/>
    </x:row>
    <x:row r="27" ht="20" customHeight="1">
      <x:c r="A27" s="2"/>
      <x:c r="B27" s="2"/>
      <x:c r="C27" s="2" t="str">
        <x:v>Accounting depreciation life</x:v>
      </x:c>
      <x:c r="D27" s="2" t="str">
        <x:v>years</x:v>
      </x:c>
      <x:c r="E27" s="14" t="n">
        <x:v>5</x:v>
      </x:c>
      <x:c r="F27" s="15" t="str">
        <x:v>Assumption A19 • replace with evidence</x:v>
      </x:c>
      <x:c r="G27" s="15"/>
      <x:c r="H27" s="15"/>
      <x:c r="I27" s="15"/>
      <x:c r="J27" s="2"/>
    </x:row>
    <x:row r="28" ht="20" customHeight="1">
      <x:c r="A28" s="2"/>
      <x:c r="B28" s="2"/>
      <x:c r="C28" s="2" t="str">
        <x:v>Accounting residual / cost not sale proceeds</x:v>
      </x:c>
      <x:c r="D28" s="2" t="str">
        <x:v>%</x:v>
      </x:c>
      <x:c r="E28" s="16" t="n">
        <x:v>0.1</x:v>
      </x:c>
      <x:c r="F28" s="15" t="str">
        <x:v>Assumption A20 • replace with evidence</x:v>
      </x:c>
      <x:c r="G28" s="15"/>
      <x:c r="H28" s="15"/>
      <x:c r="I28" s="15"/>
      <x:c r="J28" s="2"/>
    </x:row>
    <x:row r="29" ht="20" customHeight="1">
      <x:c r="A29" s="2"/>
      <x:c r="B29" s="2"/>
      <x:c r="C29" s="2" t="str">
        <x:v>Normalized annual hours</x:v>
      </x:c>
      <x:c r="D29" s="2" t="str">
        <x:v>hours</x:v>
      </x:c>
      <x:c r="E29" s="14" t="n">
        <x:v>8760</x:v>
      </x:c>
      <x:c r="F29" s="15" t="str">
        <x:v>Assumption A21 • replace with evidence</x:v>
      </x:c>
      <x:c r="G29" s="15"/>
      <x:c r="H29" s="15"/>
      <x:c r="I29" s="15"/>
      <x:c r="J29" s="2"/>
    </x:row>
    <x:row r="30" ht="20" customHeight="1">
      <x:c r="A30" s="2"/>
      <x:c r="B30" s="2"/>
      <x:c r="C30" s="2" t="str">
        <x:v>Assumed hardware renewal cost at year five</x:v>
      </x:c>
      <x:c r="D30" s="2" t="str">
        <x:v>GBP</x:v>
      </x:c>
      <x:c r="E30" s="14" t="n">
        <x:v>520000</x:v>
      </x:c>
      <x:c r="F30" s="15" t="str">
        <x:v>Assumption A22 • replace with evidence</x:v>
      </x:c>
      <x:c r="G30" s="15"/>
      <x:c r="H30" s="15"/>
      <x:c r="I30" s="15"/>
      <x:c r="J30" s="2"/>
    </x:row>
    <x:row r="31" ht="20" customHeight="1">
      <x:c r="A31" s="2"/>
      <x:c r="B31" s="2"/>
      <x:c r="C31" s="2" t="str">
        <x:v>Annual institutional membership</x:v>
      </x:c>
      <x:c r="D31" s="2" t="str">
        <x:v>GBP</x:v>
      </x:c>
      <x:c r="E31" s="14" t="n">
        <x:v>25000</x:v>
      </x:c>
      <x:c r="F31" s="15" t="str">
        <x:v>Assumption A23 • replace with evidence</x:v>
      </x:c>
      <x:c r="G31" s="15"/>
      <x:c r="H31" s="15"/>
      <x:c r="I31" s="15"/>
      <x:c r="J31" s="2"/>
    </x:row>
    <x:row r="32" ht="20" customHeight="1">
      <x:c r="A32" s="2"/>
      <x:c r="B32" s="2"/>
      <x:c r="C32" s="2" t="str">
        <x:v>Average completed project revenue</x:v>
      </x:c>
      <x:c r="D32" s="2" t="str">
        <x:v>GBP</x:v>
      </x:c>
      <x:c r="E32" s="14" t="n">
        <x:v>60000</x:v>
      </x:c>
      <x:c r="F32" s="15" t="str">
        <x:v>Assumption A24 • replace with evidence</x:v>
      </x:c>
      <x:c r="G32" s="15"/>
      <x:c r="H32" s="15"/>
      <x:c r="I32" s="15"/>
      <x:c r="J32" s="2"/>
    </x:row>
    <x:row r="33" ht="20" customHeight="1">
      <x:c r="A33" s="2"/>
      <x:c r="B33" s="2"/>
      <x:c r="C33" s="2" t="str">
        <x:v>Annual service engagement revenue</x:v>
      </x:c>
      <x:c r="D33" s="2" t="str">
        <x:v>GBP</x:v>
      </x:c>
      <x:c r="E33" s="14" t="n">
        <x:v>18000</x:v>
      </x:c>
      <x:c r="F33" s="15" t="str">
        <x:v>Assumption A25 • replace with evidence</x:v>
      </x:c>
      <x:c r="G33" s="15"/>
      <x:c r="H33" s="15"/>
      <x:c r="I33" s="15"/>
      <x:c r="J33" s="2"/>
    </x:row>
    <x:row r="34" ht="20" customHeight="1">
      <x:c r="A34" s="2"/>
      <x:c r="B34" s="2"/>
      <x:c r="C34" s="2" t="str">
        <x:v>Year one loaded annual cost per FTE</x:v>
      </x:c>
      <x:c r="D34" s="2" t="str">
        <x:v>GBP</x:v>
      </x:c>
      <x:c r="E34" s="14" t="n">
        <x:v>90000</x:v>
      </x:c>
      <x:c r="F34" s="15" t="str">
        <x:v>Assumption A26 • replace with evidence</x:v>
      </x:c>
      <x:c r="G34" s="15"/>
      <x:c r="H34" s="15"/>
      <x:c r="I34" s="15"/>
      <x:c r="J34" s="2"/>
    </x:row>
    <x:row r="35" ht="20" customHeight="1">
      <x:c r="A35" s="2"/>
      <x:c r="B35" s="2"/>
      <x:c r="C35" s="2" t="str">
        <x:v>Annual institute fixed administration</x:v>
      </x:c>
      <x:c r="D35" s="2" t="str">
        <x:v>GBP</x:v>
      </x:c>
      <x:c r="E35" s="14" t="n">
        <x:v>70000</x:v>
      </x:c>
      <x:c r="F35" s="15" t="str">
        <x:v>Assumption A27 • replace with evidence</x:v>
      </x:c>
      <x:c r="G35" s="15"/>
      <x:c r="H35" s="15"/>
      <x:c r="I35" s="15"/>
      <x:c r="J35" s="2"/>
    </x:row>
    <x:row r="36" ht="20" customHeight="1">
      <x:c r="A36" s="2"/>
      <x:c r="B36" s="2"/>
      <x:c r="C36" s="2" t="str">
        <x:v>Annual shared research programme costs</x:v>
      </x:c>
      <x:c r="D36" s="2" t="str">
        <x:v>GBP</x:v>
      </x:c>
      <x:c r="E36" s="14" t="n">
        <x:v>50000</x:v>
      </x:c>
      <x:c r="F36" s="15" t="str">
        <x:v>Assumption A28 • replace with evidence</x:v>
      </x:c>
      <x:c r="G36" s="15"/>
      <x:c r="H36" s="15"/>
      <x:c r="I36" s="15"/>
      <x:c r="J36" s="2"/>
    </x:row>
    <x:row r="37" ht="20" customHeight="1">
      <x:c r="A37" s="2"/>
      <x:c r="B37" s="2"/>
      <x:c r="C37" s="2" t="str">
        <x:v>Annual purchased research compute</x:v>
      </x:c>
      <x:c r="D37" s="2" t="str">
        <x:v>GBP</x:v>
      </x:c>
      <x:c r="E37" s="14" t="n">
        <x:v>20000</x:v>
      </x:c>
      <x:c r="F37" s="15" t="str">
        <x:v>External managed research compute; validate scope without free GPU allocation.</x:v>
      </x:c>
      <x:c r="G37" s="15"/>
      <x:c r="H37" s="15"/>
      <x:c r="I37" s="15"/>
      <x:c r="J37" s="2"/>
    </x:row>
    <x:row r="38" ht="20" customHeight="1">
      <x:c r="A38" s="2"/>
      <x:c r="B38" s="2"/>
      <x:c r="C38" s="2" t="str">
        <x:v>Variable annual cost per member</x:v>
      </x:c>
      <x:c r="D38" s="2" t="str">
        <x:v>GBP</x:v>
      </x:c>
      <x:c r="E38" s="14" t="n">
        <x:v>3000</x:v>
      </x:c>
      <x:c r="F38" s="15" t="str">
        <x:v>Assumption A30 • replace with evidence</x:v>
      </x:c>
      <x:c r="G38" s="15"/>
      <x:c r="H38" s="15"/>
      <x:c r="I38" s="15"/>
      <x:c r="J38" s="2"/>
    </x:row>
    <x:row r="39" ht="20" customHeight="1">
      <x:c r="A39" s="2"/>
      <x:c r="B39" s="2"/>
      <x:c r="C39" s="2" t="str">
        <x:v>External variable costs / project revenue</x:v>
      </x:c>
      <x:c r="D39" s="2" t="str">
        <x:v>%</x:v>
      </x:c>
      <x:c r="E39" s="16" t="n">
        <x:v>0.15</x:v>
      </x:c>
      <x:c r="F39" s="15" t="str">
        <x:v>Assumption A31 • replace with evidence</x:v>
      </x:c>
      <x:c r="G39" s="15"/>
      <x:c r="H39" s="15"/>
      <x:c r="I39" s="15"/>
      <x:c r="J39" s="2"/>
    </x:row>
    <x:row r="40" ht="20" customHeight="1">
      <x:c r="A40" s="2"/>
      <x:c r="B40" s="2"/>
      <x:c r="C40" s="2" t="str">
        <x:v>External variable costs / service revenue</x:v>
      </x:c>
      <x:c r="D40" s="2" t="str">
        <x:v>%</x:v>
      </x:c>
      <x:c r="E40" s="16" t="n">
        <x:v>0.15</x:v>
      </x:c>
      <x:c r="F40" s="15" t="str">
        <x:v>Assumption A32 • replace with evidence</x:v>
      </x:c>
      <x:c r="G40" s="15"/>
      <x:c r="H40" s="15"/>
      <x:c r="I40" s="15"/>
      <x:c r="J40" s="2"/>
    </x:row>
    <x:row r="41" ht="20" customHeight="1">
      <x:c r="A41" s="2"/>
      <x:c r="B41" s="2"/>
      <x:c r="C41" s="2" t="str">
        <x:v>Earned income receivable days at year end</x:v>
      </x:c>
      <x:c r="D41" s="2" t="str">
        <x:v>days</x:v>
      </x:c>
      <x:c r="E41" s="14" t="n">
        <x:v>60</x:v>
      </x:c>
      <x:c r="F41" s="15" t="str">
        <x:v>Assumption A33 • replace with evidence</x:v>
      </x:c>
      <x:c r="G41" s="15"/>
      <x:c r="H41" s="15"/>
      <x:c r="I41" s="15"/>
      <x:c r="J41" s="2"/>
    </x:row>
    <x:row r="42" ht="20" customHeight="1">
      <x:c r="A42" s="2"/>
      <x:c r="B42" s="2"/>
      <x:c r="C42" s="2" t="str">
        <x:v>Separate opening institute working capital</x:v>
      </x:c>
      <x:c r="D42" s="2" t="str">
        <x:v>GBP</x:v>
      </x:c>
      <x:c r="E42" s="14" t="n">
        <x:v>200000</x:v>
      </x:c>
      <x:c r="F42" s="15" t="str">
        <x:v>Assumption A34 • replace with evidence</x:v>
      </x:c>
      <x:c r="G42" s="15"/>
      <x:c r="H42" s="15"/>
      <x:c r="I42" s="15"/>
      <x:c r="J42" s="2"/>
    </x:row>
    <x:row r="43" ht="20" customHeight="1">
      <x:c r="A43" s="2"/>
      <x:c r="B43" s="2"/>
      <x:c r="C43" s="2"/>
      <x:c r="D43" s="2"/>
      <x:c r="E43" s="7"/>
      <x:c r="F43" s="7"/>
      <x:c r="G43" s="7"/>
      <x:c r="H43" s="7"/>
      <x:c r="I43" s="7"/>
      <x:c r="J43" s="2"/>
    </x:row>
    <x:row r="44" ht="36" customHeight="1">
      <x:c r="A44" s="2"/>
      <x:c r="B44" s="2"/>
      <x:c r="C44" s="21" t="str">
        <x:v>Model Guide explains boundaries, omissions and sources. Vendor retail asking prices are not assumed realized revenue. No grant is committed.</x:v>
      </x:c>
      <x:c r="D44" s="21"/>
      <x:c r="E44" s="22"/>
      <x:c r="F44" s="22"/>
      <x:c r="G44" s="22"/>
      <x:c r="H44" s="22"/>
      <x:c r="I44" s="22"/>
      <x:c r="J44" s="2"/>
    </x:row>
    <x:row r="45" ht="20" customHeight="1">
      <x:c r="A45" s="2"/>
      <x:c r="B45" s="2"/>
      <x:c r="C45" s="2"/>
      <x:c r="D45" s="2"/>
      <x:c r="E45" s="7"/>
      <x:c r="F45" s="7"/>
      <x:c r="G45" s="7"/>
      <x:c r="H45" s="7"/>
      <x:c r="I45" s="7"/>
      <x:c r="J45" s="2"/>
    </x:row>
    <x:row r="46" ht="36" customHeight="1">
      <x:c r="A46" s="2"/>
      <x:c r="B46" s="2"/>
      <x:c r="C46" s="21" t="str">
        <x:v>Accounting depreciation is not a tax opinion. Cash taxes use a simple loss carryforward. Reserve deposits are not tax deductions in this model.</x:v>
      </x:c>
      <x:c r="D46" s="21"/>
      <x:c r="E46" s="22"/>
      <x:c r="F46" s="22"/>
      <x:c r="G46" s="22"/>
      <x:c r="H46" s="22"/>
      <x:c r="I46" s="22"/>
      <x:c r="J46" s="2"/>
    </x:row>
    <x:row r="47" ht="20" customHeight="1">
      <x:c r="A47" s="2"/>
      <x:c r="B47" s="2"/>
      <x:c r="C47" s="2"/>
      <x:c r="D47" s="2"/>
      <x:c r="E47" s="7"/>
      <x:c r="F47" s="7"/>
      <x:c r="G47" s="7"/>
      <x:c r="H47" s="7"/>
      <x:c r="I47" s="7"/>
      <x:c r="J47" s="2"/>
    </x:row>
    <x:row r="48" ht="36" customHeight="1">
      <x:c r="A48" s="2"/>
      <x:c r="B48" s="2"/>
      <x:c r="C48" s="21" t="str">
        <x:v>1.5x means a maximum including principal, not a 50% annual yield. A cap is not a promise that the maximum will be paid.</x:v>
      </x:c>
      <x:c r="D48" s="21"/>
      <x:c r="E48" s="22"/>
      <x:c r="F48" s="22"/>
      <x:c r="G48" s="22"/>
      <x:c r="H48" s="22"/>
      <x:c r="I48" s="22"/>
      <x:c r="J48" s="2"/>
    </x:row>
    <x:row r="49" ht="20" customHeight="1">
      <x:c r="A49" s="2"/>
      <x:c r="B49" s="2"/>
      <x:c r="C49" s="2"/>
      <x:c r="D49" s="2"/>
      <x:c r="E49" s="7"/>
      <x:c r="F49" s="7"/>
      <x:c r="G49" s="7"/>
      <x:c r="H49" s="7"/>
      <x:c r="I49" s="7"/>
      <x:c r="J49" s="2"/>
    </x:row>
    <x:row r="50" ht="24" customHeight="1">
      <x:c r="A50" s="2"/>
      <x:c r="B50" s="2"/>
      <x:c r="C50" s="12" t="str">
        <x:v>Scenario inputs  |  active row followed by three editable cases</x:v>
      </x:c>
      <x:c r="D50" s="12"/>
      <x:c r="E50" s="13"/>
      <x:c r="F50" s="13"/>
      <x:c r="G50" s="13"/>
      <x:c r="H50" s="13"/>
      <x:c r="I50" s="13"/>
      <x:c r="J50" s="2"/>
    </x:row>
    <x:row r="51" ht="20" customHeight="1">
      <x:c r="A51" s="2"/>
      <x:c r="B51" s="2"/>
      <x:c r="C51" s="2"/>
      <x:c r="D51" s="2"/>
      <x:c r="E51" s="7" t="str">
        <x:v>FY28</x:v>
      </x:c>
      <x:c r="F51" s="7" t="str">
        <x:v>FY29</x:v>
      </x:c>
      <x:c r="G51" s="7" t="str">
        <x:v>FY30</x:v>
      </x:c>
      <x:c r="H51" s="7" t="str">
        <x:v>FY31</x:v>
      </x:c>
      <x:c r="I51" s="7" t="str">
        <x:v>FY32</x:v>
      </x:c>
      <x:c r="J51" s="2"/>
    </x:row>
    <x:row r="52" ht="20" customHeight="1">
      <x:c r="A52" s="2"/>
      <x:c r="B52" s="2"/>
      <x:c r="C52" s="27" t="str">
        <x:v>Realized GPU hour price</x:v>
      </x:c>
      <x:c r="D52" s="27" t="str">
        <x:v>GBP/hr</x:v>
      </x:c>
      <x:c r="E52" s="29" t="n">
        <x:f>CHOOSE($E$6,E53,E54,E55)</x:f>
        <x:v>2.75</x:v>
      </x:c>
      <x:c r="F52" s="29" t="n">
        <x:f>CHOOSE($E$6,F53,F54,F55)</x:f>
        <x:v>2.42</x:v>
      </x:c>
      <x:c r="G52" s="29" t="n">
        <x:f>CHOOSE($E$6,G53,G54,G55)</x:f>
        <x:v>2.1296</x:v>
      </x:c>
      <x:c r="H52" s="29" t="n">
        <x:f>CHOOSE($E$6,H53,H54,H55)</x:f>
        <x:v>1.874048</x:v>
      </x:c>
      <x:c r="I52" s="29" t="n">
        <x:f>CHOOSE($E$6,I53,I54,I55)</x:f>
        <x:v>1.64916224</x:v>
      </x:c>
      <x:c r="J52" s="2"/>
    </x:row>
    <x:row r="53" ht="20" customHeight="1">
      <x:c r="A53" s="2"/>
      <x:c r="B53" s="2"/>
      <x:c r="C53" s="2" t="str">
        <x:v>Downside</x:v>
      </x:c>
      <x:c r="D53" s="2" t="str">
        <x:v>GBP/hr</x:v>
      </x:c>
      <x:c r="E53" s="18" t="n">
        <x:v>1.8</x:v>
      </x:c>
      <x:c r="F53" s="18" t="n">
        <x:v>1.53</x:v>
      </x:c>
      <x:c r="G53" s="18" t="n">
        <x:v>1.3005</x:v>
      </x:c>
      <x:c r="H53" s="18" t="n">
        <x:v>1.105425</x:v>
      </x:c>
      <x:c r="I53" s="18" t="n">
        <x:v>0.93961125</x:v>
      </x:c>
      <x:c r="J53" s="2"/>
    </x:row>
    <x:row r="54" ht="20" customHeight="1">
      <x:c r="A54" s="2"/>
      <x:c r="B54" s="2"/>
      <x:c r="C54" s="2" t="str">
        <x:v>Base</x:v>
      </x:c>
      <x:c r="D54" s="2" t="str">
        <x:v>GBP/hr</x:v>
      </x:c>
      <x:c r="E54" s="18" t="n">
        <x:v>2.75</x:v>
      </x:c>
      <x:c r="F54" s="18" t="n">
        <x:v>2.42</x:v>
      </x:c>
      <x:c r="G54" s="18" t="n">
        <x:v>2.1296</x:v>
      </x:c>
      <x:c r="H54" s="18" t="n">
        <x:v>1.874048</x:v>
      </x:c>
      <x:c r="I54" s="18" t="n">
        <x:v>1.64916224</x:v>
      </x:c>
      <x:c r="J54" s="2"/>
    </x:row>
    <x:row r="55" ht="20" customHeight="1">
      <x:c r="A55" s="2"/>
      <x:c r="B55" s="2"/>
      <x:c r="C55" s="2" t="str">
        <x:v>Upside</x:v>
      </x:c>
      <x:c r="D55" s="2" t="str">
        <x:v>GBP/hr</x:v>
      </x:c>
      <x:c r="E55" s="18" t="n">
        <x:v>3.5</x:v>
      </x:c>
      <x:c r="F55" s="18" t="n">
        <x:v>3.22</x:v>
      </x:c>
      <x:c r="G55" s="18" t="n">
        <x:v>2.9624</x:v>
      </x:c>
      <x:c r="H55" s="18" t="n">
        <x:v>2.725408</x:v>
      </x:c>
      <x:c r="I55" s="18" t="n">
        <x:v>2.50737536</x:v>
      </x:c>
      <x:c r="J55" s="2"/>
    </x:row>
    <x:row r="56" ht="20" customHeight="1">
      <x:c r="A56" s="2"/>
      <x:c r="B56" s="2"/>
      <x:c r="C56" s="2"/>
      <x:c r="D56" s="2"/>
      <x:c r="E56" s="7"/>
      <x:c r="F56" s="7"/>
      <x:c r="G56" s="7"/>
      <x:c r="H56" s="7"/>
      <x:c r="I56" s="7"/>
      <x:c r="J56" s="2"/>
    </x:row>
    <x:row r="57" ht="20" customHeight="1">
      <x:c r="A57" s="2"/>
      <x:c r="B57" s="2"/>
      <x:c r="C57" s="2"/>
      <x:c r="D57" s="2"/>
      <x:c r="E57" s="7"/>
      <x:c r="F57" s="7"/>
      <x:c r="G57" s="7"/>
      <x:c r="H57" s="7"/>
      <x:c r="I57" s="7"/>
      <x:c r="J57" s="2"/>
    </x:row>
    <x:row r="58" ht="20" customHeight="1">
      <x:c r="A58" s="2"/>
      <x:c r="B58" s="2"/>
      <x:c r="C58" s="27" t="str">
        <x:v>Paid share of available GPU hours</x:v>
      </x:c>
      <x:c r="D58" s="27" t="str">
        <x:v>%</x:v>
      </x:c>
      <x:c r="E58" s="30" t="n">
        <x:f>CHOOSE($E$6,E59,E60,E61)</x:f>
        <x:v>0.65</x:v>
      </x:c>
      <x:c r="F58" s="30" t="n">
        <x:f>CHOOSE($E$6,F59,F60,F61)</x:f>
        <x:v>0.75</x:v>
      </x:c>
      <x:c r="G58" s="30" t="n">
        <x:f>CHOOSE($E$6,G59,G60,G61)</x:f>
        <x:v>0.78</x:v>
      </x:c>
      <x:c r="H58" s="30" t="n">
        <x:f>CHOOSE($E$6,H59,H60,H61)</x:f>
        <x:v>0.78</x:v>
      </x:c>
      <x:c r="I58" s="30" t="n">
        <x:f>CHOOSE($E$6,I59,I60,I61)</x:f>
        <x:v>0.75</x:v>
      </x:c>
      <x:c r="J58" s="2"/>
    </x:row>
    <x:row r="59" ht="20" customHeight="1">
      <x:c r="A59" s="2"/>
      <x:c r="B59" s="2"/>
      <x:c r="C59" s="2" t="str">
        <x:v>Downside</x:v>
      </x:c>
      <x:c r="D59" s="2" t="str">
        <x:v>%</x:v>
      </x:c>
      <x:c r="E59" s="16" t="n">
        <x:v>0.35</x:v>
      </x:c>
      <x:c r="F59" s="16" t="n">
        <x:v>0.45</x:v>
      </x:c>
      <x:c r="G59" s="16" t="n">
        <x:v>0.5</x:v>
      </x:c>
      <x:c r="H59" s="16" t="n">
        <x:v>0.5</x:v>
      </x:c>
      <x:c r="I59" s="16" t="n">
        <x:v>0.45</x:v>
      </x:c>
      <x:c r="J59" s="2"/>
    </x:row>
    <x:row r="60" ht="20" customHeight="1">
      <x:c r="A60" s="2"/>
      <x:c r="B60" s="2"/>
      <x:c r="C60" s="2" t="str">
        <x:v>Base</x:v>
      </x:c>
      <x:c r="D60" s="2" t="str">
        <x:v>%</x:v>
      </x:c>
      <x:c r="E60" s="16" t="n">
        <x:v>0.65</x:v>
      </x:c>
      <x:c r="F60" s="16" t="n">
        <x:v>0.75</x:v>
      </x:c>
      <x:c r="G60" s="16" t="n">
        <x:v>0.78</x:v>
      </x:c>
      <x:c r="H60" s="16" t="n">
        <x:v>0.78</x:v>
      </x:c>
      <x:c r="I60" s="16" t="n">
        <x:v>0.75</x:v>
      </x:c>
      <x:c r="J60" s="2"/>
    </x:row>
    <x:row r="61" ht="20" customHeight="1">
      <x:c r="A61" s="2"/>
      <x:c r="B61" s="2"/>
      <x:c r="C61" s="2" t="str">
        <x:v>Upside</x:v>
      </x:c>
      <x:c r="D61" s="2" t="str">
        <x:v>%</x:v>
      </x:c>
      <x:c r="E61" s="16" t="n">
        <x:v>0.75</x:v>
      </x:c>
      <x:c r="F61" s="16" t="n">
        <x:v>0.85</x:v>
      </x:c>
      <x:c r="G61" s="16" t="n">
        <x:v>0.88</x:v>
      </x:c>
      <x:c r="H61" s="16" t="n">
        <x:v>0.88</x:v>
      </x:c>
      <x:c r="I61" s="16" t="n">
        <x:v>0.85</x:v>
      </x:c>
      <x:c r="J61" s="2"/>
    </x:row>
    <x:row r="62" ht="20" customHeight="1">
      <x:c r="A62" s="2"/>
      <x:c r="B62" s="2"/>
      <x:c r="C62" s="2"/>
      <x:c r="D62" s="2"/>
      <x:c r="E62" s="7"/>
      <x:c r="F62" s="7"/>
      <x:c r="G62" s="7"/>
      <x:c r="H62" s="7"/>
      <x:c r="I62" s="7"/>
      <x:c r="J62" s="2"/>
    </x:row>
    <x:row r="63" ht="20" customHeight="1">
      <x:c r="A63" s="2"/>
      <x:c r="B63" s="2"/>
      <x:c r="C63" s="2"/>
      <x:c r="D63" s="2"/>
      <x:c r="E63" s="7"/>
      <x:c r="F63" s="7"/>
      <x:c r="G63" s="7"/>
      <x:c r="H63" s="7"/>
      <x:c r="I63" s="7"/>
      <x:c r="J63" s="2"/>
    </x:row>
    <x:row r="64" ht="20" customHeight="1">
      <x:c r="A64" s="2"/>
      <x:c r="B64" s="2"/>
      <x:c r="C64" s="27" t="str">
        <x:v>Paying institutional members</x:v>
      </x:c>
      <x:c r="D64" s="27" t="str">
        <x:v>count</x:v>
      </x:c>
      <x:c r="E64" s="28" t="n">
        <x:f>CHOOSE($E$6,E65,E66,E67)</x:f>
        <x:v>8</x:v>
      </x:c>
      <x:c r="F64" s="28" t="n">
        <x:f>CHOOSE($E$6,F65,F66,F67)</x:f>
        <x:v>12</x:v>
      </x:c>
      <x:c r="G64" s="28" t="n">
        <x:f>CHOOSE($E$6,G65,G66,G67)</x:f>
        <x:v>16</x:v>
      </x:c>
      <x:c r="H64" s="28" t="n">
        <x:f>CHOOSE($E$6,H65,H66,H67)</x:f>
        <x:v>20</x:v>
      </x:c>
      <x:c r="I64" s="28" t="n">
        <x:f>CHOOSE($E$6,I65,I66,I67)</x:f>
        <x:v>24</x:v>
      </x:c>
      <x:c r="J64" s="2"/>
    </x:row>
    <x:row r="65" ht="20" customHeight="1">
      <x:c r="A65" s="2"/>
      <x:c r="B65" s="2"/>
      <x:c r="C65" s="2" t="str">
        <x:v>Downside</x:v>
      </x:c>
      <x:c r="D65" s="2" t="str">
        <x:v>count</x:v>
      </x:c>
      <x:c r="E65" s="14" t="n">
        <x:v>4</x:v>
      </x:c>
      <x:c r="F65" s="14" t="n">
        <x:v>5</x:v>
      </x:c>
      <x:c r="G65" s="14" t="n">
        <x:v>6</x:v>
      </x:c>
      <x:c r="H65" s="14" t="n">
        <x:v>6</x:v>
      </x:c>
      <x:c r="I65" s="14" t="n">
        <x:v>7</x:v>
      </x:c>
      <x:c r="J65" s="2"/>
    </x:row>
    <x:row r="66" ht="20" customHeight="1">
      <x:c r="A66" s="2"/>
      <x:c r="B66" s="2"/>
      <x:c r="C66" s="2" t="str">
        <x:v>Base</x:v>
      </x:c>
      <x:c r="D66" s="2" t="str">
        <x:v>count</x:v>
      </x:c>
      <x:c r="E66" s="14" t="n">
        <x:v>8</x:v>
      </x:c>
      <x:c r="F66" s="14" t="n">
        <x:v>12</x:v>
      </x:c>
      <x:c r="G66" s="14" t="n">
        <x:v>16</x:v>
      </x:c>
      <x:c r="H66" s="14" t="n">
        <x:v>20</x:v>
      </x:c>
      <x:c r="I66" s="14" t="n">
        <x:v>24</x:v>
      </x:c>
      <x:c r="J66" s="2"/>
    </x:row>
    <x:row r="67" ht="20" customHeight="1">
      <x:c r="A67" s="2"/>
      <x:c r="B67" s="2"/>
      <x:c r="C67" s="2" t="str">
        <x:v>Upside</x:v>
      </x:c>
      <x:c r="D67" s="2" t="str">
        <x:v>count</x:v>
      </x:c>
      <x:c r="E67" s="14" t="n">
        <x:v>12</x:v>
      </x:c>
      <x:c r="F67" s="14" t="n">
        <x:v>18</x:v>
      </x:c>
      <x:c r="G67" s="14" t="n">
        <x:v>24</x:v>
      </x:c>
      <x:c r="H67" s="14" t="n">
        <x:v>30</x:v>
      </x:c>
      <x:c r="I67" s="14" t="n">
        <x:v>36</x:v>
      </x:c>
      <x:c r="J67" s="2"/>
    </x:row>
    <x:row r="68" ht="20" customHeight="1">
      <x:c r="A68" s="2"/>
      <x:c r="B68" s="2"/>
      <x:c r="C68" s="2"/>
      <x:c r="D68" s="2"/>
      <x:c r="E68" s="7"/>
      <x:c r="F68" s="7"/>
      <x:c r="G68" s="7"/>
      <x:c r="H68" s="7"/>
      <x:c r="I68" s="7"/>
      <x:c r="J68" s="2"/>
    </x:row>
    <x:row r="69" ht="20" customHeight="1">
      <x:c r="A69" s="2"/>
      <x:c r="B69" s="2"/>
      <x:c r="C69" s="2"/>
      <x:c r="D69" s="2"/>
      <x:c r="E69" s="7"/>
      <x:c r="F69" s="7"/>
      <x:c r="G69" s="7"/>
      <x:c r="H69" s="7"/>
      <x:c r="I69" s="7"/>
      <x:c r="J69" s="2"/>
    </x:row>
    <x:row r="70" ht="20" customHeight="1">
      <x:c r="A70" s="2"/>
      <x:c r="B70" s="2"/>
      <x:c r="C70" s="27" t="str">
        <x:v>Completed paid research projects</x:v>
      </x:c>
      <x:c r="D70" s="27" t="str">
        <x:v>count</x:v>
      </x:c>
      <x:c r="E70" s="28" t="n">
        <x:f>CHOOSE($E$6,E71,E72,E73)</x:f>
        <x:v>3</x:v>
      </x:c>
      <x:c r="F70" s="28" t="n">
        <x:f>CHOOSE($E$6,F71,F72,F73)</x:f>
        <x:v>4</x:v>
      </x:c>
      <x:c r="G70" s="28" t="n">
        <x:f>CHOOSE($E$6,G71,G72,G73)</x:f>
        <x:v>5</x:v>
      </x:c>
      <x:c r="H70" s="28" t="n">
        <x:f>CHOOSE($E$6,H71,H72,H73)</x:f>
        <x:v>6</x:v>
      </x:c>
      <x:c r="I70" s="28" t="n">
        <x:f>CHOOSE($E$6,I71,I72,I73)</x:f>
        <x:v>7</x:v>
      </x:c>
      <x:c r="J70" s="2"/>
    </x:row>
    <x:row r="71" ht="20" customHeight="1">
      <x:c r="A71" s="2"/>
      <x:c r="B71" s="2"/>
      <x:c r="C71" s="2" t="str">
        <x:v>Downside</x:v>
      </x:c>
      <x:c r="D71" s="2" t="str">
        <x:v>count</x:v>
      </x:c>
      <x:c r="E71" s="14" t="n">
        <x:v>1</x:v>
      </x:c>
      <x:c r="F71" s="14" t="n">
        <x:v>2</x:v>
      </x:c>
      <x:c r="G71" s="14" t="n">
        <x:v>2</x:v>
      </x:c>
      <x:c r="H71" s="14" t="n">
        <x:v>2</x:v>
      </x:c>
      <x:c r="I71" s="14" t="n">
        <x:v>3</x:v>
      </x:c>
      <x:c r="J71" s="2"/>
    </x:row>
    <x:row r="72" ht="20" customHeight="1">
      <x:c r="A72" s="2"/>
      <x:c r="B72" s="2"/>
      <x:c r="C72" s="2" t="str">
        <x:v>Base</x:v>
      </x:c>
      <x:c r="D72" s="2" t="str">
        <x:v>count</x:v>
      </x:c>
      <x:c r="E72" s="14" t="n">
        <x:v>3</x:v>
      </x:c>
      <x:c r="F72" s="14" t="n">
        <x:v>4</x:v>
      </x:c>
      <x:c r="G72" s="14" t="n">
        <x:v>5</x:v>
      </x:c>
      <x:c r="H72" s="14" t="n">
        <x:v>6</x:v>
      </x:c>
      <x:c r="I72" s="14" t="n">
        <x:v>7</x:v>
      </x:c>
      <x:c r="J72" s="2"/>
    </x:row>
    <x:row r="73" ht="20" customHeight="1">
      <x:c r="A73" s="2"/>
      <x:c r="B73" s="2"/>
      <x:c r="C73" s="2" t="str">
        <x:v>Upside</x:v>
      </x:c>
      <x:c r="D73" s="2" t="str">
        <x:v>count</x:v>
      </x:c>
      <x:c r="E73" s="14" t="n">
        <x:v>4</x:v>
      </x:c>
      <x:c r="F73" s="14" t="n">
        <x:v>6</x:v>
      </x:c>
      <x:c r="G73" s="14" t="n">
        <x:v>8</x:v>
      </x:c>
      <x:c r="H73" s="14" t="n">
        <x:v>10</x:v>
      </x:c>
      <x:c r="I73" s="14" t="n">
        <x:v>12</x:v>
      </x:c>
      <x:c r="J73" s="2"/>
    </x:row>
    <x:row r="74" ht="20" customHeight="1">
      <x:c r="A74" s="2"/>
      <x:c r="B74" s="2"/>
      <x:c r="C74" s="2"/>
      <x:c r="D74" s="2"/>
      <x:c r="E74" s="7"/>
      <x:c r="F74" s="7"/>
      <x:c r="G74" s="7"/>
      <x:c r="H74" s="7"/>
      <x:c r="I74" s="7"/>
      <x:c r="J74" s="2"/>
    </x:row>
    <x:row r="75" ht="20" customHeight="1">
      <x:c r="A75" s="2"/>
      <x:c r="B75" s="2"/>
      <x:c r="C75" s="2"/>
      <x:c r="D75" s="2"/>
      <x:c r="E75" s="7"/>
      <x:c r="F75" s="7"/>
      <x:c r="G75" s="7"/>
      <x:c r="H75" s="7"/>
      <x:c r="I75" s="7"/>
      <x:c r="J75" s="2"/>
    </x:row>
    <x:row r="76" ht="20" customHeight="1">
      <x:c r="A76" s="2"/>
      <x:c r="B76" s="2"/>
      <x:c r="C76" s="27" t="str">
        <x:v>Annual technical service engagements</x:v>
      </x:c>
      <x:c r="D76" s="27" t="str">
        <x:v>count</x:v>
      </x:c>
      <x:c r="E76" s="28" t="n">
        <x:f>CHOOSE($E$6,E77,E78,E79)</x:f>
        <x:v>6</x:v>
      </x:c>
      <x:c r="F76" s="28" t="n">
        <x:f>CHOOSE($E$6,F77,F78,F79)</x:f>
        <x:v>10</x:v>
      </x:c>
      <x:c r="G76" s="28" t="n">
        <x:f>CHOOSE($E$6,G77,G78,G79)</x:f>
        <x:v>14</x:v>
      </x:c>
      <x:c r="H76" s="28" t="n">
        <x:f>CHOOSE($E$6,H77,H78,H79)</x:f>
        <x:v>18</x:v>
      </x:c>
      <x:c r="I76" s="28" t="n">
        <x:f>CHOOSE($E$6,I77,I78,I79)</x:f>
        <x:v>22</x:v>
      </x:c>
      <x:c r="J76" s="2"/>
    </x:row>
    <x:row r="77" ht="20" customHeight="1">
      <x:c r="A77" s="2"/>
      <x:c r="B77" s="2"/>
      <x:c r="C77" s="2" t="str">
        <x:v>Downside</x:v>
      </x:c>
      <x:c r="D77" s="2" t="str">
        <x:v>count</x:v>
      </x:c>
      <x:c r="E77" s="14" t="n">
        <x:v>3</x:v>
      </x:c>
      <x:c r="F77" s="14" t="n">
        <x:v>4</x:v>
      </x:c>
      <x:c r="G77" s="14" t="n">
        <x:v>5</x:v>
      </x:c>
      <x:c r="H77" s="14" t="n">
        <x:v>6</x:v>
      </x:c>
      <x:c r="I77" s="14" t="n">
        <x:v>6</x:v>
      </x:c>
      <x:c r="J77" s="2"/>
    </x:row>
    <x:row r="78" ht="20" customHeight="1">
      <x:c r="A78" s="2"/>
      <x:c r="B78" s="2"/>
      <x:c r="C78" s="2" t="str">
        <x:v>Base</x:v>
      </x:c>
      <x:c r="D78" s="2" t="str">
        <x:v>count</x:v>
      </x:c>
      <x:c r="E78" s="14" t="n">
        <x:v>6</x:v>
      </x:c>
      <x:c r="F78" s="14" t="n">
        <x:v>10</x:v>
      </x:c>
      <x:c r="G78" s="14" t="n">
        <x:v>14</x:v>
      </x:c>
      <x:c r="H78" s="14" t="n">
        <x:v>18</x:v>
      </x:c>
      <x:c r="I78" s="14" t="n">
        <x:v>22</x:v>
      </x:c>
      <x:c r="J78" s="2"/>
    </x:row>
    <x:row r="79" ht="20" customHeight="1">
      <x:c r="A79" s="2"/>
      <x:c r="B79" s="2"/>
      <x:c r="C79" s="2" t="str">
        <x:v>Upside</x:v>
      </x:c>
      <x:c r="D79" s="2" t="str">
        <x:v>count</x:v>
      </x:c>
      <x:c r="E79" s="14" t="n">
        <x:v>8</x:v>
      </x:c>
      <x:c r="F79" s="14" t="n">
        <x:v>14</x:v>
      </x:c>
      <x:c r="G79" s="14" t="n">
        <x:v>20</x:v>
      </x:c>
      <x:c r="H79" s="14" t="n">
        <x:v>26</x:v>
      </x:c>
      <x:c r="I79" s="14" t="n">
        <x:v>32</x:v>
      </x:c>
      <x:c r="J79" s="2"/>
    </x:row>
    <x:row r="80" ht="20" customHeight="1">
      <x:c r="A80" s="2"/>
      <x:c r="B80" s="2"/>
      <x:c r="C80" s="2"/>
      <x:c r="D80" s="2"/>
      <x:c r="E80" s="7"/>
      <x:c r="F80" s="7"/>
      <x:c r="G80" s="7"/>
      <x:c r="H80" s="7"/>
      <x:c r="I80" s="7"/>
      <x:c r="J80" s="2"/>
    </x:row>
    <x:row r="81" ht="20" customHeight="1">
      <x:c r="A81" s="2"/>
      <x:c r="B81" s="2"/>
      <x:c r="C81" s="2"/>
      <x:c r="D81" s="2"/>
      <x:c r="E81" s="7"/>
      <x:c r="F81" s="7"/>
      <x:c r="G81" s="7"/>
      <x:c r="H81" s="7"/>
      <x:c r="I81" s="7"/>
      <x:c r="J81" s="2"/>
    </x:row>
    <x:row r="82" ht="20" customHeight="1">
      <x:c r="A82" s="2"/>
      <x:c r="B82" s="2"/>
      <x:c r="C82" s="27" t="str">
        <x:v>Paid full time equivalent staff</x:v>
      </x:c>
      <x:c r="D82" s="27" t="str">
        <x:v>FTE</x:v>
      </x:c>
      <x:c r="E82" s="31" t="n">
        <x:f>CHOOSE($E$6,E83,E84,E85)</x:f>
        <x:v>4</x:v>
      </x:c>
      <x:c r="F82" s="31" t="n">
        <x:f>CHOOSE($E$6,F83,F84,F85)</x:f>
        <x:v>5</x:v>
      </x:c>
      <x:c r="G82" s="31" t="n">
        <x:f>CHOOSE($E$6,G83,G84,G85)</x:f>
        <x:v>6</x:v>
      </x:c>
      <x:c r="H82" s="31" t="n">
        <x:f>CHOOSE($E$6,H83,H84,H85)</x:f>
        <x:v>7</x:v>
      </x:c>
      <x:c r="I82" s="31" t="n">
        <x:f>CHOOSE($E$6,I83,I84,I85)</x:f>
        <x:v>8</x:v>
      </x:c>
      <x:c r="J82" s="2"/>
    </x:row>
    <x:row r="83" ht="20" customHeight="1">
      <x:c r="A83" s="2"/>
      <x:c r="B83" s="2"/>
      <x:c r="C83" s="2" t="str">
        <x:v>Downside</x:v>
      </x:c>
      <x:c r="D83" s="2" t="str">
        <x:v>FTE</x:v>
      </x:c>
      <x:c r="E83" s="32" t="n">
        <x:v>3</x:v>
      </x:c>
      <x:c r="F83" s="32" t="n">
        <x:v>3</x:v>
      </x:c>
      <x:c r="G83" s="32" t="n">
        <x:v>3.5</x:v>
      </x:c>
      <x:c r="H83" s="32" t="n">
        <x:v>3.5</x:v>
      </x:c>
      <x:c r="I83" s="32" t="n">
        <x:v>4</x:v>
      </x:c>
      <x:c r="J83" s="2"/>
    </x:row>
    <x:row r="84" ht="20" customHeight="1">
      <x:c r="A84" s="2"/>
      <x:c r="B84" s="2"/>
      <x:c r="C84" s="2" t="str">
        <x:v>Base</x:v>
      </x:c>
      <x:c r="D84" s="2" t="str">
        <x:v>FTE</x:v>
      </x:c>
      <x:c r="E84" s="32" t="n">
        <x:v>4</x:v>
      </x:c>
      <x:c r="F84" s="32" t="n">
        <x:v>5</x:v>
      </x:c>
      <x:c r="G84" s="32" t="n">
        <x:v>6</x:v>
      </x:c>
      <x:c r="H84" s="32" t="n">
        <x:v>7</x:v>
      </x:c>
      <x:c r="I84" s="32" t="n">
        <x:v>8</x:v>
      </x:c>
      <x:c r="J84" s="2"/>
    </x:row>
    <x:row r="85" ht="20" customHeight="1">
      <x:c r="A85" s="2"/>
      <x:c r="B85" s="2"/>
      <x:c r="C85" s="2" t="str">
        <x:v>Upside</x:v>
      </x:c>
      <x:c r="D85" s="2" t="str">
        <x:v>FTE</x:v>
      </x:c>
      <x:c r="E85" s="32" t="n">
        <x:v>4.5</x:v>
      </x:c>
      <x:c r="F85" s="32" t="n">
        <x:v>6</x:v>
      </x:c>
      <x:c r="G85" s="32" t="n">
        <x:v>8</x:v>
      </x:c>
      <x:c r="H85" s="32" t="n">
        <x:v>10</x:v>
      </x:c>
      <x:c r="I85" s="32" t="n">
        <x:v>12</x:v>
      </x:c>
      <x:c r="J85" s="2"/>
    </x:row>
    <x:row r="86" ht="20" customHeight="1">
      <x:c r="A86" s="2"/>
      <x:c r="B86" s="2"/>
      <x:c r="C86" s="2"/>
      <x:c r="D86" s="2"/>
      <x:c r="E86" s="7"/>
      <x:c r="F86" s="7"/>
      <x:c r="G86" s="7"/>
      <x:c r="H86" s="7"/>
      <x:c r="I86" s="7"/>
      <x:c r="J86" s="2"/>
    </x:row>
    <x:row r="87" ht="20" customHeight="1">
      <x:c r="A87" s="2"/>
      <x:c r="B87" s="2"/>
      <x:c r="C87" s="2"/>
      <x:c r="D87" s="2"/>
      <x:c r="E87" s="7"/>
      <x:c r="F87" s="7"/>
      <x:c r="G87" s="7"/>
      <x:c r="H87" s="7"/>
      <x:c r="I87" s="7"/>
      <x:c r="J87" s="2"/>
    </x:row>
    <x:row r="88" ht="20" customHeight="1">
      <x:c r="A88" s="2"/>
      <x:c r="B88" s="2"/>
      <x:c r="C88" s="27" t="str">
        <x:v>Institute grants received in period</x:v>
      </x:c>
      <x:c r="D88" s="27" t="str">
        <x:v>GBP</x:v>
      </x:c>
      <x:c r="E88" s="28" t="n">
        <x:f>CHOOSE($E$6,E89,E90,E91)</x:f>
        <x:v>300000</x:v>
      </x:c>
      <x:c r="F88" s="28" t="n">
        <x:f>CHOOSE($E$6,F89,F90,F91)</x:f>
        <x:v>250000</x:v>
      </x:c>
      <x:c r="G88" s="28" t="n">
        <x:f>CHOOSE($E$6,G89,G90,G91)</x:f>
        <x:v>200000</x:v>
      </x:c>
      <x:c r="H88" s="28" t="n">
        <x:f>CHOOSE($E$6,H89,H90,H91)</x:f>
        <x:v>150000</x:v>
      </x:c>
      <x:c r="I88" s="28" t="n">
        <x:f>CHOOSE($E$6,I89,I90,I91)</x:f>
        <x:v>100000</x:v>
      </x:c>
      <x:c r="J88" s="2"/>
    </x:row>
    <x:row r="89" ht="20" customHeight="1">
      <x:c r="A89" s="2"/>
      <x:c r="B89" s="2"/>
      <x:c r="C89" s="2" t="str">
        <x:v>Downside</x:v>
      </x:c>
      <x:c r="D89" s="2" t="str">
        <x:v>GBP</x:v>
      </x:c>
      <x:c r="E89" s="14" t="n">
        <x:v>200000</x:v>
      </x:c>
      <x:c r="F89" s="14" t="n">
        <x:v>150000</x:v>
      </x:c>
      <x:c r="G89" s="14" t="n">
        <x:v>100000</x:v>
      </x:c>
      <x:c r="H89" s="14" t="n">
        <x:v>50000</x:v>
      </x:c>
      <x:c r="I89" s="14" t="n">
        <x:v>0</x:v>
      </x:c>
      <x:c r="J89" s="2"/>
    </x:row>
    <x:row r="90" ht="20" customHeight="1">
      <x:c r="A90" s="2"/>
      <x:c r="B90" s="2"/>
      <x:c r="C90" s="2" t="str">
        <x:v>Base</x:v>
      </x:c>
      <x:c r="D90" s="2" t="str">
        <x:v>GBP</x:v>
      </x:c>
      <x:c r="E90" s="14" t="n">
        <x:v>300000</x:v>
      </x:c>
      <x:c r="F90" s="14" t="n">
        <x:v>250000</x:v>
      </x:c>
      <x:c r="G90" s="14" t="n">
        <x:v>200000</x:v>
      </x:c>
      <x:c r="H90" s="14" t="n">
        <x:v>150000</x:v>
      </x:c>
      <x:c r="I90" s="14" t="n">
        <x:v>100000</x:v>
      </x:c>
      <x:c r="J90" s="2"/>
    </x:row>
    <x:row r="91" ht="20" customHeight="1">
      <x:c r="A91" s="2"/>
      <x:c r="B91" s="2"/>
      <x:c r="C91" s="2" t="str">
        <x:v>Upside</x:v>
      </x:c>
      <x:c r="D91" s="2" t="str">
        <x:v>GBP</x:v>
      </x:c>
      <x:c r="E91" s="14" t="n">
        <x:v>300000</x:v>
      </x:c>
      <x:c r="F91" s="14" t="n">
        <x:v>250000</x:v>
      </x:c>
      <x:c r="G91" s="14" t="n">
        <x:v>200000</x:v>
      </x:c>
      <x:c r="H91" s="14" t="n">
        <x:v>150000</x:v>
      </x:c>
      <x:c r="I91" s="14" t="n">
        <x:v>100000</x:v>
      </x:c>
      <x:c r="J91" s="2"/>
    </x:row>
    <x:row r="92" ht="20" customHeight="1">
      <x:c r="A92" s="2"/>
      <x:c r="B92" s="2"/>
      <x:c r="C92" s="2"/>
      <x:c r="D92" s="2"/>
      <x:c r="E92" s="7"/>
      <x:c r="F92" s="7"/>
      <x:c r="G92" s="7"/>
      <x:c r="H92" s="7"/>
      <x:c r="I92" s="7"/>
      <x:c r="J92" s="2"/>
    </x:row>
    <x:row r="93" ht="20" customHeight="1">
      <x:c r="A93" s="2"/>
      <x:c r="B93" s="2"/>
      <x:c r="C93" s="2"/>
      <x:c r="D93" s="2"/>
      <x:c r="E93" s="7"/>
      <x:c r="F93" s="7"/>
      <x:c r="G93" s="7"/>
      <x:c r="H93" s="7"/>
      <x:c r="I93" s="7"/>
      <x:c r="J93" s="2"/>
    </x:row>
    <x:row r="94" ht="20" customHeight="1">
      <x:c r="A94" s="2"/>
      <x:c r="B94" s="2"/>
      <x:c r="C94" s="2"/>
      <x:c r="D94" s="2"/>
      <x:c r="E94" s="7"/>
      <x:c r="F94" s="7"/>
      <x:c r="G94" s="7"/>
      <x:c r="H94" s="7"/>
      <x:c r="I94" s="7"/>
      <x:c r="J94" s="2"/>
    </x:row>
    <x:row r="95" ht="36" customHeight="1">
      <x:c r="A95" s="2"/>
      <x:c r="B95" s="2"/>
      <x:c r="C95" s="21" t="str">
        <x:v>Proposed full operating years: August 2027 to July 2032. Annual periods use 8,760 hours for comparability, not actual calendar hours.</x:v>
      </x:c>
      <x:c r="D95" s="21"/>
      <x:c r="E95" s="22"/>
      <x:c r="F95" s="22"/>
      <x:c r="G95" s="22"/>
      <x:c r="H95" s="22"/>
      <x:c r="I95" s="22"/>
      <x:c r="J95" s="2"/>
    </x:row>
    <x:row r="96" ht="20" customHeight="1">
      <x:c r="A96" s="2"/>
      <x:c r="B96" s="2"/>
      <x:c r="C96" s="2"/>
      <x:c r="D96" s="2"/>
      <x:c r="E96" s="7"/>
      <x:c r="F96" s="7"/>
      <x:c r="G96" s="7"/>
      <x:c r="H96" s="7"/>
      <x:c r="I96" s="7"/>
      <x:c r="J96" s="2"/>
    </x:row>
    <x:row r="97" ht="20" customHeight="1">
      <x:c r="A97" s="2"/>
      <x:c r="B97" s="2"/>
      <x:c r="C97" s="2"/>
      <x:c r="D97" s="2"/>
      <x:c r="E97" s="7"/>
      <x:c r="F97" s="7"/>
      <x:c r="G97" s="7"/>
      <x:c r="H97" s="7"/>
      <x:c r="I97" s="7"/>
      <x:c r="J97" s="2"/>
    </x:row>
    <x:row r="98" ht="26" customHeight="1">
      <x:c r="A98" s="2"/>
      <x:c r="B98" s="2"/>
      <x:c r="C98" s="50" t="str">
        <x:v>Managed capacity service inputs</x:v>
      </x:c>
      <x:c r="D98" s="50"/>
      <x:c r="E98" s="51"/>
      <x:c r="F98" s="51"/>
      <x:c r="G98" s="51"/>
      <x:c r="H98" s="51"/>
      <x:c r="I98" s="51"/>
      <x:c r="J98" s="2"/>
    </x:row>
    <x:row r="99" ht="23" customHeight="1">
      <x:c r="A99" s="2"/>
      <x:c r="B99" s="2"/>
      <x:c r="C99" s="45" t="str">
        <x:v>Opening service cash</x:v>
      </x:c>
      <x:c r="D99" s="45" t="str">
        <x:v>GBP</x:v>
      </x:c>
      <x:c r="E99" s="54" t="n">
        <x:v>60000</x:v>
      </x:c>
      <x:c r="F99" s="55" t="str">
        <x:v>Planning input. Partner Service Model Guide.</x:v>
      </x:c>
      <x:c r="G99" s="55"/>
      <x:c r="H99" s="55"/>
      <x:c r="I99" s="55"/>
      <x:c r="J99" s="2"/>
    </x:row>
    <x:row r="100" ht="23" customHeight="1">
      <x:c r="A100" s="2"/>
      <x:c r="B100" s="2"/>
      <x:c r="C100" s="45" t="str">
        <x:v>Variable ITT support per paid hour</x:v>
      </x:c>
      <x:c r="D100" s="45" t="str">
        <x:v>GBP/hr</x:v>
      </x:c>
      <x:c r="E100" s="56" t="n">
        <x:v>0.2</x:v>
      </x:c>
      <x:c r="F100" s="55" t="str">
        <x:v>Planning input. Partner Service Model Guide.</x:v>
      </x:c>
      <x:c r="G100" s="55"/>
      <x:c r="H100" s="55"/>
      <x:c r="I100" s="55"/>
      <x:c r="J100" s="2"/>
    </x:row>
    <x:row r="101" ht="23" customHeight="1">
      <x:c r="C101" s="45" t="str">
        <x:v>Dedicated coordination and assurance</x:v>
      </x:c>
      <x:c r="D101" s="45" t="str">
        <x:v>GBP/yr</x:v>
      </x:c>
      <x:c r="E101" s="54" t="n">
        <x:v>24000</x:v>
      </x:c>
      <x:c r="F101" s="59" t="str">
        <x:v>Planning input. Partner Service Model Guide.</x:v>
      </x:c>
      <x:c r="G101" s="59"/>
      <x:c r="H101" s="59"/>
      <x:c r="I101" s="59"/>
    </x:row>
    <x:row r="102" ht="23" customHeight="1">
      <x:c r="C102" s="45" t="str">
        <x:v>Community programme cash budget</x:v>
      </x:c>
      <x:c r="D102" s="45" t="str">
        <x:v>GBP/yr</x:v>
      </x:c>
      <x:c r="E102" s="54" t="n">
        <x:v>12000</x:v>
      </x:c>
      <x:c r="F102" s="59" t="str">
        <x:v>Planning input. Partner Service Model Guide.</x:v>
      </x:c>
      <x:c r="G102" s="59"/>
      <x:c r="H102" s="59"/>
      <x:c r="I102" s="59"/>
    </x:row>
    <x:row r="103" ht="23" customHeight="1">
      <x:c r="C103" s="45" t="str">
        <x:v>Customer receivable days</x:v>
      </x:c>
      <x:c r="D103" s="45" t="str">
        <x:v>days</x:v>
      </x:c>
      <x:c r="E103" s="54" t="n">
        <x:v>60</x:v>
      </x:c>
      <x:c r="F103" s="59" t="str">
        <x:v>Planning input. Partner Service Model Guide.</x:v>
      </x:c>
      <x:c r="G103" s="59"/>
      <x:c r="H103" s="59"/>
      <x:c r="I103" s="59"/>
    </x:row>
    <x:row r="104" ht="23" customHeight="1">
      <x:c r="C104" s="45" t="str">
        <x:v>Provider payable days</x:v>
      </x:c>
      <x:c r="D104" s="45" t="str">
        <x:v>days</x:v>
      </x:c>
      <x:c r="E104" s="54" t="n">
        <x:v>30</x:v>
      </x:c>
      <x:c r="F104" s="59" t="str">
        <x:v>Planning input. Partner Service Model Guide.</x:v>
      </x:c>
      <x:c r="G104" s="59"/>
      <x:c r="H104" s="59"/>
      <x:c r="I104" s="59"/>
    </x:row>
    <x:row r="105" ht="23" customHeight="1">
      <x:c r="C105" s="45" t="str">
        <x:v>Provider deposit on minimum charge</x:v>
      </x:c>
      <x:c r="D105" s="45" t="str">
        <x:v>months</x:v>
      </x:c>
      <x:c r="E105" s="54" t="n">
        <x:v>2</x:v>
      </x:c>
      <x:c r="F105" s="59" t="str">
        <x:v>Planning input. Partner Service Model Guide.</x:v>
      </x:c>
      <x:c r="G105" s="59"/>
      <x:c r="H105" s="59"/>
      <x:c r="I105" s="59"/>
    </x:row>
    <x:row r="106" ht="23" customHeight="1">
      <x:c r="C106" s="45" t="str">
        <x:v>Days per model year</x:v>
      </x:c>
      <x:c r="D106" s="45" t="str">
        <x:v>days</x:v>
      </x:c>
      <x:c r="E106" s="54" t="n">
        <x:v>365</x:v>
      </x:c>
      <x:c r="F106" s="59" t="str">
        <x:v>Planning input. Partner Service Model Guide.</x:v>
      </x:c>
      <x:c r="G106" s="59"/>
      <x:c r="H106" s="59"/>
      <x:c r="I106" s="59"/>
    </x:row>
    <x:row r="107" ht="23" customHeight="1">
      <x:c r="C107" s="45" t="str">
        <x:v>Months per model year</x:v>
      </x:c>
      <x:c r="D107" s="45" t="str">
        <x:v>months</x:v>
      </x:c>
      <x:c r="E107" s="54" t="n">
        <x:v>12</x:v>
      </x:c>
      <x:c r="F107" s="59" t="str">
        <x:v>Planning input. Partner Service Model Guide.</x:v>
      </x:c>
      <x:c r="G107" s="59"/>
      <x:c r="H107" s="59"/>
      <x:c r="I107" s="59"/>
    </x:row>
    <x:row r="108" ht="23" customHeight="1">
      <x:c r="C108" s="45"/>
      <x:c r="D108" s="45"/>
      <x:c r="E108" s="45"/>
      <x:c r="F108" s="45"/>
      <x:c r="G108" s="45"/>
      <x:c r="H108" s="45"/>
      <x:c r="I108" s="45"/>
    </x:row>
    <x:row r="109" ht="30" customHeight="1">
      <x:c r="C109" s="60" t="str">
        <x:v>Separate optional segment. No donated-hour income. Costs inflate using E25. No consolidation with Institute.</x:v>
      </x:c>
      <x:c r="D109" s="60"/>
      <x:c r="E109" s="60"/>
      <x:c r="F109" s="60"/>
      <x:c r="G109" s="60"/>
      <x:c r="H109" s="60"/>
      <x:c r="I109" s="60"/>
    </x:row>
    <x:row r="110" ht="23" customHeight="1">
      <x:c r="C110" s="45"/>
      <x:c r="D110" s="45"/>
      <x:c r="E110" s="45"/>
      <x:c r="F110" s="45"/>
      <x:c r="G110" s="45"/>
      <x:c r="H110" s="45"/>
      <x:c r="I110" s="45"/>
    </x:row>
    <x:row r="111" ht="23" customHeight="1">
      <x:c r="C111" s="45"/>
      <x:c r="D111" s="45"/>
      <x:c r="E111" s="61" t="str">
        <x:v>FY28</x:v>
      </x:c>
      <x:c r="F111" s="61" t="str">
        <x:v>FY29</x:v>
      </x:c>
      <x:c r="G111" s="61" t="str">
        <x:v>FY30</x:v>
      </x:c>
      <x:c r="H111" s="61" t="str">
        <x:v>FY31</x:v>
      </x:c>
      <x:c r="I111" s="61" t="str">
        <x:v>FY32</x:v>
      </x:c>
    </x:row>
    <x:row r="112" ht="23" customHeight="1">
      <x:c r="C112" s="63" t="str">
        <x:v>Paid external managed GPU hours</x:v>
      </x:c>
      <x:c r="D112" s="63" t="str">
        <x:v>hours</x:v>
      </x:c>
      <x:c r="E112" s="64" t="n">
        <x:f>CHOOSE($E$6,E113,E114,E115)</x:f>
        <x:v>40000</x:v>
      </x:c>
      <x:c r="F112" s="64" t="n">
        <x:f>CHOOSE($E$6,F113,F114,F115)</x:f>
        <x:v>60000</x:v>
      </x:c>
      <x:c r="G112" s="64" t="n">
        <x:f>CHOOSE($E$6,G113,G114,G115)</x:f>
        <x:v>85000</x:v>
      </x:c>
      <x:c r="H112" s="64" t="n">
        <x:f>CHOOSE($E$6,H113,H114,H115)</x:f>
        <x:v>110000</x:v>
      </x:c>
      <x:c r="I112" s="64" t="n">
        <x:f>CHOOSE($E$6,I113,I114,I115)</x:f>
        <x:v>135000</x:v>
      </x:c>
    </x:row>
    <x:row r="113" ht="23" customHeight="1">
      <x:c r="C113" s="45" t="str">
        <x:v>Downside</x:v>
      </x:c>
      <x:c r="D113" s="45" t="str">
        <x:v>hours</x:v>
      </x:c>
      <x:c r="E113" s="54" t="n">
        <x:v>20000</x:v>
      </x:c>
      <x:c r="F113" s="54" t="n">
        <x:v>30000</x:v>
      </x:c>
      <x:c r="G113" s="54" t="n">
        <x:v>35000</x:v>
      </x:c>
      <x:c r="H113" s="54" t="n">
        <x:v>40000</x:v>
      </x:c>
      <x:c r="I113" s="54" t="n">
        <x:v>40000</x:v>
      </x:c>
    </x:row>
    <x:row r="114" ht="23" customHeight="1">
      <x:c r="C114" s="45" t="str">
        <x:v>Base</x:v>
      </x:c>
      <x:c r="D114" s="45" t="str">
        <x:v>hours</x:v>
      </x:c>
      <x:c r="E114" s="54" t="n">
        <x:v>40000</x:v>
      </x:c>
      <x:c r="F114" s="54" t="n">
        <x:v>60000</x:v>
      </x:c>
      <x:c r="G114" s="54" t="n">
        <x:v>85000</x:v>
      </x:c>
      <x:c r="H114" s="54" t="n">
        <x:v>110000</x:v>
      </x:c>
      <x:c r="I114" s="54" t="n">
        <x:v>135000</x:v>
      </x:c>
    </x:row>
    <x:row r="115" ht="23" customHeight="1">
      <x:c r="C115" s="45" t="str">
        <x:v>Upside</x:v>
      </x:c>
      <x:c r="D115" s="45" t="str">
        <x:v>hours</x:v>
      </x:c>
      <x:c r="E115" s="54" t="n">
        <x:v>60000</x:v>
      </x:c>
      <x:c r="F115" s="54" t="n">
        <x:v>100000</x:v>
      </x:c>
      <x:c r="G115" s="54" t="n">
        <x:v>150000</x:v>
      </x:c>
      <x:c r="H115" s="54" t="n">
        <x:v>200000</x:v>
      </x:c>
      <x:c r="I115" s="54" t="n">
        <x:v>250000</x:v>
      </x:c>
    </x:row>
    <x:row r="116" ht="23" customHeight="1">
      <x:c r="C116" s="45"/>
      <x:c r="D116" s="45"/>
      <x:c r="E116" s="45"/>
      <x:c r="F116" s="45"/>
      <x:c r="G116" s="45"/>
      <x:c r="H116" s="45"/>
      <x:c r="I116" s="45"/>
    </x:row>
    <x:row r="117" ht="23" customHeight="1">
      <x:c r="C117" s="45"/>
      <x:c r="D117" s="45"/>
      <x:c r="E117" s="45"/>
      <x:c r="F117" s="45"/>
      <x:c r="G117" s="45"/>
      <x:c r="H117" s="45"/>
      <x:c r="I117" s="45"/>
    </x:row>
    <x:row r="118" ht="23" customHeight="1">
      <x:c r="C118" s="63" t="str">
        <x:v>Minimum provider hours billed</x:v>
      </x:c>
      <x:c r="D118" s="63" t="str">
        <x:v>hours</x:v>
      </x:c>
      <x:c r="E118" s="64" t="n">
        <x:f>CHOOSE($E$6,E119,E120,E121)</x:f>
        <x:v>24000</x:v>
      </x:c>
      <x:c r="F118" s="64" t="n">
        <x:f>CHOOSE($E$6,F119,F120,F121)</x:f>
        <x:v>40000</x:v>
      </x:c>
      <x:c r="G118" s="64" t="n">
        <x:f>CHOOSE($E$6,G119,G120,G121)</x:f>
        <x:v>60000</x:v>
      </x:c>
      <x:c r="H118" s="64" t="n">
        <x:f>CHOOSE($E$6,H119,H120,H121)</x:f>
        <x:v>80000</x:v>
      </x:c>
      <x:c r="I118" s="64" t="n">
        <x:f>CHOOSE($E$6,I119,I120,I121)</x:f>
        <x:v>100000</x:v>
      </x:c>
    </x:row>
    <x:row r="119" ht="23" customHeight="1">
      <x:c r="C119" s="45" t="str">
        <x:v>Downside</x:v>
      </x:c>
      <x:c r="D119" s="45" t="str">
        <x:v>hours</x:v>
      </x:c>
      <x:c r="E119" s="54" t="n">
        <x:v>30000</x:v>
      </x:c>
      <x:c r="F119" s="54" t="n">
        <x:v>40000</x:v>
      </x:c>
      <x:c r="G119" s="54" t="n">
        <x:v>50000</x:v>
      </x:c>
      <x:c r="H119" s="54" t="n">
        <x:v>60000</x:v>
      </x:c>
      <x:c r="I119" s="54" t="n">
        <x:v>70000</x:v>
      </x:c>
    </x:row>
    <x:row r="120" ht="23" customHeight="1">
      <x:c r="C120" s="45" t="str">
        <x:v>Base</x:v>
      </x:c>
      <x:c r="D120" s="45" t="str">
        <x:v>hours</x:v>
      </x:c>
      <x:c r="E120" s="54" t="n">
        <x:v>24000</x:v>
      </x:c>
      <x:c r="F120" s="54" t="n">
        <x:v>40000</x:v>
      </x:c>
      <x:c r="G120" s="54" t="n">
        <x:v>60000</x:v>
      </x:c>
      <x:c r="H120" s="54" t="n">
        <x:v>80000</x:v>
      </x:c>
      <x:c r="I120" s="54" t="n">
        <x:v>100000</x:v>
      </x:c>
    </x:row>
    <x:row r="121" ht="23" customHeight="1">
      <x:c r="C121" s="45" t="str">
        <x:v>Upside</x:v>
      </x:c>
      <x:c r="D121" s="45" t="str">
        <x:v>hours</x:v>
      </x:c>
      <x:c r="E121" s="54" t="n">
        <x:v>40000</x:v>
      </x:c>
      <x:c r="F121" s="54" t="n">
        <x:v>70000</x:v>
      </x:c>
      <x:c r="G121" s="54" t="n">
        <x:v>100000</x:v>
      </x:c>
      <x:c r="H121" s="54" t="n">
        <x:v>140000</x:v>
      </x:c>
      <x:c r="I121" s="54" t="n">
        <x:v>180000</x:v>
      </x:c>
    </x:row>
    <x:row r="122" ht="23" customHeight="1">
      <x:c r="C122" s="45"/>
      <x:c r="D122" s="45"/>
      <x:c r="E122" s="45"/>
      <x:c r="F122" s="45"/>
      <x:c r="G122" s="45"/>
      <x:c r="H122" s="45"/>
      <x:c r="I122" s="45"/>
    </x:row>
    <x:row r="123" ht="23" customHeight="1">
      <x:c r="C123" s="45"/>
      <x:c r="D123" s="45"/>
      <x:c r="E123" s="45"/>
      <x:c r="F123" s="45"/>
      <x:c r="G123" s="45"/>
      <x:c r="H123" s="45"/>
      <x:c r="I123" s="45"/>
    </x:row>
    <x:row r="124" ht="23" customHeight="1">
      <x:c r="C124" s="63" t="str">
        <x:v>Realised customer service price</x:v>
      </x:c>
      <x:c r="D124" s="63" t="str">
        <x:v>GBP/hr</x:v>
      </x:c>
      <x:c r="E124" s="65" t="n">
        <x:f>CHOOSE($E$6,E125,E126,E127)</x:f>
        <x:v>2.75</x:v>
      </x:c>
      <x:c r="F124" s="65" t="n">
        <x:f>CHOOSE($E$6,F125,F126,F127)</x:f>
        <x:v>2.42</x:v>
      </x:c>
      <x:c r="G124" s="65" t="n">
        <x:f>CHOOSE($E$6,G125,G126,G127)</x:f>
        <x:v>2.1296</x:v>
      </x:c>
      <x:c r="H124" s="65" t="n">
        <x:f>CHOOSE($E$6,H125,H126,H127)</x:f>
        <x:v>1.874048</x:v>
      </x:c>
      <x:c r="I124" s="65" t="n">
        <x:f>CHOOSE($E$6,I125,I126,I127)</x:f>
        <x:v>1.64916224</x:v>
      </x:c>
    </x:row>
    <x:row r="125" ht="23" customHeight="1">
      <x:c r="C125" s="45" t="str">
        <x:v>Downside</x:v>
      </x:c>
      <x:c r="D125" s="45" t="str">
        <x:v>GBP/hr</x:v>
      </x:c>
      <x:c r="E125" s="56" t="n">
        <x:v>1.8</x:v>
      </x:c>
      <x:c r="F125" s="56" t="n">
        <x:v>1.53</x:v>
      </x:c>
      <x:c r="G125" s="56" t="n">
        <x:v>1.3005</x:v>
      </x:c>
      <x:c r="H125" s="56" t="n">
        <x:v>1.105425</x:v>
      </x:c>
      <x:c r="I125" s="56" t="n">
        <x:v>0.93961125</x:v>
      </x:c>
    </x:row>
    <x:row r="126" ht="23" customHeight="1">
      <x:c r="C126" s="45" t="str">
        <x:v>Base</x:v>
      </x:c>
      <x:c r="D126" s="45" t="str">
        <x:v>GBP/hr</x:v>
      </x:c>
      <x:c r="E126" s="56" t="n">
        <x:v>2.75</x:v>
      </x:c>
      <x:c r="F126" s="56" t="n">
        <x:v>2.42</x:v>
      </x:c>
      <x:c r="G126" s="56" t="n">
        <x:v>2.1296</x:v>
      </x:c>
      <x:c r="H126" s="56" t="n">
        <x:v>1.874048</x:v>
      </x:c>
      <x:c r="I126" s="56" t="n">
        <x:v>1.64916224</x:v>
      </x:c>
    </x:row>
    <x:row r="127" ht="23" customHeight="1">
      <x:c r="C127" s="45" t="str">
        <x:v>Upside</x:v>
      </x:c>
      <x:c r="D127" s="45" t="str">
        <x:v>GBP/hr</x:v>
      </x:c>
      <x:c r="E127" s="56" t="n">
        <x:v>3.5</x:v>
      </x:c>
      <x:c r="F127" s="56" t="n">
        <x:v>3.22</x:v>
      </x:c>
      <x:c r="G127" s="56" t="n">
        <x:v>2.9624</x:v>
      </x:c>
      <x:c r="H127" s="56" t="n">
        <x:v>2.725408</x:v>
      </x:c>
      <x:c r="I127" s="56" t="n">
        <x:v>2.50737536</x:v>
      </x:c>
    </x:row>
    <x:row r="128" ht="23" customHeight="1">
      <x:c r="C128" s="45"/>
      <x:c r="D128" s="45"/>
      <x:c r="E128" s="45"/>
      <x:c r="F128" s="45"/>
      <x:c r="G128" s="45"/>
      <x:c r="H128" s="45"/>
      <x:c r="I128" s="45"/>
    </x:row>
    <x:row r="129" ht="23" customHeight="1">
      <x:c r="C129" s="45"/>
      <x:c r="D129" s="45"/>
      <x:c r="E129" s="45"/>
      <x:c r="F129" s="45"/>
      <x:c r="G129" s="45"/>
      <x:c r="H129" s="45"/>
      <x:c r="I129" s="45"/>
    </x:row>
    <x:row r="130" ht="23" customHeight="1">
      <x:c r="C130" s="63" t="str">
        <x:v>All in managed provider rate</x:v>
      </x:c>
      <x:c r="D130" s="63" t="str">
        <x:v>GBP/hr</x:v>
      </x:c>
      <x:c r="E130" s="65" t="n">
        <x:f>CHOOSE($E$6,E131,E132,E133)</x:f>
        <x:v>1.65</x:v>
      </x:c>
      <x:c r="F130" s="65" t="n">
        <x:f>CHOOSE($E$6,F131,F132,F133)</x:f>
        <x:v>1.5</x:v>
      </x:c>
      <x:c r="G130" s="65" t="n">
        <x:f>CHOOSE($E$6,G131,G132,G133)</x:f>
        <x:v>1.38</x:v>
      </x:c>
      <x:c r="H130" s="65" t="n">
        <x:f>CHOOSE($E$6,H131,H132,H133)</x:f>
        <x:v>1.27</x:v>
      </x:c>
      <x:c r="I130" s="65" t="n">
        <x:f>CHOOSE($E$6,I131,I132,I133)</x:f>
        <x:v>1.17</x:v>
      </x:c>
    </x:row>
    <x:row r="131" ht="23" customHeight="1">
      <x:c r="C131" s="45" t="str">
        <x:v>Downside</x:v>
      </x:c>
      <x:c r="D131" s="45" t="str">
        <x:v>GBP/hr</x:v>
      </x:c>
      <x:c r="E131" s="56" t="n">
        <x:v>1.6</x:v>
      </x:c>
      <x:c r="F131" s="56" t="n">
        <x:v>1.5</x:v>
      </x:c>
      <x:c r="G131" s="56" t="n">
        <x:v>1.4</x:v>
      </x:c>
      <x:c r="H131" s="56" t="n">
        <x:v>1.3</x:v>
      </x:c>
      <x:c r="I131" s="56" t="n">
        <x:v>1.2</x:v>
      </x:c>
    </x:row>
    <x:row r="132" ht="23" customHeight="1">
      <x:c r="C132" s="45" t="str">
        <x:v>Base</x:v>
      </x:c>
      <x:c r="D132" s="45" t="str">
        <x:v>GBP/hr</x:v>
      </x:c>
      <x:c r="E132" s="56" t="n">
        <x:v>1.65</x:v>
      </x:c>
      <x:c r="F132" s="56" t="n">
        <x:v>1.5</x:v>
      </x:c>
      <x:c r="G132" s="56" t="n">
        <x:v>1.38</x:v>
      </x:c>
      <x:c r="H132" s="56" t="n">
        <x:v>1.27</x:v>
      </x:c>
      <x:c r="I132" s="56" t="n">
        <x:v>1.17</x:v>
      </x:c>
    </x:row>
    <x:row r="133" ht="23" customHeight="1">
      <x:c r="C133" s="45" t="str">
        <x:v>Upside</x:v>
      </x:c>
      <x:c r="D133" s="45" t="str">
        <x:v>GBP/hr</x:v>
      </x:c>
      <x:c r="E133" s="56" t="n">
        <x:v>1.8</x:v>
      </x:c>
      <x:c r="F133" s="56" t="n">
        <x:v>1.65</x:v>
      </x:c>
      <x:c r="G133" s="56" t="n">
        <x:v>1.52</x:v>
      </x:c>
      <x:c r="H133" s="56" t="n">
        <x:v>1.4</x:v>
      </x:c>
      <x:c r="I133" s="56" t="n">
        <x:v>1.29</x:v>
      </x:c>
    </x:row>
    <x:row r="134" ht="23" customHeight="1">
      <x:c r="C134" s="45"/>
      <x:c r="D134" s="45"/>
      <x:c r="E134" s="45"/>
      <x:c r="F134" s="45"/>
      <x:c r="G134" s="45"/>
      <x:c r="H134" s="45"/>
      <x:c r="I134" s="45"/>
    </x:row>
    <x:row r="135" ht="23" customHeight="1">
      <x:c r="C135" s="45"/>
      <x:c r="D135" s="45"/>
      <x:c r="E135" s="45"/>
      <x:c r="F135" s="45"/>
      <x:c r="G135" s="45"/>
      <x:c r="H135" s="45"/>
      <x:c r="I135" s="45"/>
    </x:row>
    <x:row r="136" ht="30" customHeight="1">
      <x:c r="C136" s="60" t="str">
        <x:v>Prices, volumes, reservations and costs are illustrative; obtain workload-matched quotes and commitments.</x:v>
      </x:c>
      <x:c r="D136" s="60"/>
      <x:c r="E136" s="60"/>
      <x:c r="F136" s="60"/>
      <x:c r="G136" s="60"/>
      <x:c r="H136" s="60"/>
      <x:c r="I136" s="60"/>
    </x:row>
    <x:row r="137" ht="23" customHeight="1">
      <x:c r="C137" s="45"/>
      <x:c r="D137" s="45"/>
      <x:c r="E137" s="45"/>
      <x:c r="F137" s="45"/>
      <x:c r="G137" s="45"/>
      <x:c r="H137" s="45"/>
      <x:c r="I137" s="45"/>
    </x:row>
    <x:row r="138" ht="30" customHeight="1">
      <x:c r="C138" s="60" t="str">
        <x:v>Provider rate includes physical service costs. Quote exclusions separately. Local/homelab hours are not fungible inputs.</x:v>
      </x:c>
      <x:c r="D138" s="60"/>
      <x:c r="E138" s="60"/>
      <x:c r="F138" s="60"/>
      <x:c r="G138" s="60"/>
      <x:c r="H138" s="60"/>
      <x:c r="I138" s="60"/>
    </x:row>
    <x:row r="139" ht="23" customHeight="1">
      <x:c r="C139" s="45"/>
      <x:c r="D139" s="45"/>
      <x:c r="E139" s="45"/>
      <x:c r="F139" s="45"/>
      <x:c r="G139" s="45"/>
      <x:c r="H139" s="45"/>
      <x:c r="I139" s="45"/>
    </x:row>
  </x:sheetData>
  <x:mergeCells>
    <x:mergeCell ref="C2:I2"/>
    <x:mergeCell ref="C3:I4"/>
    <x:mergeCell ref="F6:I6"/>
    <x:mergeCell ref="C8:I8"/>
    <x:mergeCell ref="F9:I9"/>
    <x:mergeCell ref="F10:I10"/>
    <x:mergeCell ref="F11:I11"/>
    <x:mergeCell ref="F12:I12"/>
    <x:mergeCell ref="F13:I13"/>
    <x:mergeCell ref="F14:I14"/>
    <x:mergeCell ref="F15:I15"/>
    <x:mergeCell ref="F16:I16"/>
    <x:mergeCell ref="F17:I17"/>
    <x:mergeCell ref="F18:I18"/>
    <x:mergeCell ref="F19:I19"/>
    <x:mergeCell ref="F20:I20"/>
    <x:mergeCell ref="F21:I21"/>
    <x:mergeCell ref="F22:I22"/>
    <x:mergeCell ref="F23:I23"/>
    <x:mergeCell ref="F24:I24"/>
    <x:mergeCell ref="F25:I25"/>
    <x:mergeCell ref="F26:I26"/>
    <x:mergeCell ref="F27:I27"/>
    <x:mergeCell ref="F28:I28"/>
    <x:mergeCell ref="F29:I29"/>
    <x:mergeCell ref="F30:I30"/>
    <x:mergeCell ref="F31:I31"/>
    <x:mergeCell ref="F32:I32"/>
    <x:mergeCell ref="F33:I33"/>
    <x:mergeCell ref="F34:I34"/>
    <x:mergeCell ref="F35:I35"/>
    <x:mergeCell ref="F36:I36"/>
    <x:mergeCell ref="F37:I37"/>
    <x:mergeCell ref="F38:I38"/>
    <x:mergeCell ref="F39:I39"/>
    <x:mergeCell ref="F40:I40"/>
    <x:mergeCell ref="F41:I41"/>
    <x:mergeCell ref="F42:I42"/>
    <x:mergeCell ref="C44:I44"/>
    <x:mergeCell ref="C46:I46"/>
    <x:mergeCell ref="C48:I48"/>
    <x:mergeCell ref="C50:I50"/>
    <x:mergeCell ref="C95:I95"/>
  </x:mergeCells>
  <x:conditionalFormatting sqref="E8:I95">
    <x:cfRule type="cellIs" dxfId="1" priority="1" operator="lessThan">
      <x:formula>0</x:formula>
    </x:cfRule>
  </x:conditionalFormatting>
  <x:dataValidations count="1">
    <x:dataValidation type="list" sqref="E6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8354A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49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.200000047683716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2"/>
      <x:c r="B2" s="2"/>
      <x:c r="C2" s="3" t="str">
        <x:v>Optional provider managed GPU ownership</x:v>
      </x:c>
      <x:c r="D2" s="3"/>
      <x:c r="E2" s="3"/>
      <x:c r="F2" s="3"/>
      <x:c r="G2" s="3"/>
      <x:c r="H2" s="3"/>
      <x:c r="I2" s="3"/>
      <x:c r="J2" s="2"/>
    </x:row>
    <x:row r="3" ht="20" customHeight="1">
      <x:c r="A3" s="2"/>
      <x:c r="B3" s="2"/>
      <x:c r="C3" s="5" t="str">
        <x:v>Partner operates the facility and hardware. Itemised service costs are assumptions. No facility construction.</x:v>
      </x:c>
      <x:c r="D3" s="5"/>
      <x:c r="E3" s="5"/>
      <x:c r="F3" s="5"/>
      <x:c r="G3" s="5"/>
      <x:c r="H3" s="5"/>
      <x:c r="I3" s="5"/>
      <x:c r="J3" s="2"/>
    </x:row>
    <x:row r="4" ht="20" customHeight="1">
      <x:c r="A4" s="2"/>
      <x:c r="B4" s="2"/>
      <x:c r="C4" s="5"/>
      <x:c r="D4" s="5"/>
      <x:c r="E4" s="5"/>
      <x:c r="F4" s="5"/>
      <x:c r="G4" s="5"/>
      <x:c r="H4" s="5"/>
      <x:c r="I4" s="5"/>
      <x:c r="J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0" customHeight="1">
      <x:c r="A6" s="2"/>
      <x:c r="B6" s="2"/>
      <x:c r="C6" s="2" t="str">
        <x:v>Selected scenario</x:v>
      </x:c>
      <x:c r="D6" s="2"/>
      <x:c r="E6" s="6" t="str">
        <x:f>'Assumptions'!F6</x:f>
        <x:v>Base</x:v>
      </x:c>
      <x:c r="F6" s="2"/>
      <x:c r="G6" s="2"/>
      <x:c r="H6" s="2"/>
      <x:c r="I6" s="2"/>
      <x:c r="J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24" customHeight="1">
      <x:c r="A8" s="2"/>
      <x:c r="B8" s="2"/>
      <x:c r="C8" s="12" t="str">
        <x:v>Initial capital and payment ceiling</x:v>
      </x:c>
      <x:c r="D8" s="12"/>
      <x:c r="E8" s="13"/>
      <x:c r="F8" s="13"/>
      <x:c r="G8" s="13"/>
      <x:c r="H8" s="13"/>
      <x:c r="I8" s="13"/>
      <x:c r="J8" s="2"/>
    </x:row>
    <x:row r="9" ht="20" customHeight="1">
      <x:c r="A9" s="2"/>
      <x:c r="B9" s="2"/>
      <x:c r="C9" s="2" t="str">
        <x:v>Installed asset cost</x:v>
      </x:c>
      <x:c r="D9" s="2" t="str">
        <x:v>GBP</x:v>
      </x:c>
      <x:c r="E9" s="33" t="n">
        <x:f>'Assumptions'!$E$9*'Assumptions'!$E$10+'Assumptions'!$E$11</x:f>
        <x:v>520000</x:v>
      </x:c>
      <x:c r="F9" s="7"/>
      <x:c r="G9" s="7"/>
      <x:c r="H9" s="7"/>
      <x:c r="I9" s="7"/>
      <x:c r="J9" s="2"/>
    </x:row>
    <x:row r="10" ht="20" customHeight="1">
      <x:c r="A10" s="2"/>
      <x:c r="B10" s="2"/>
      <x:c r="C10" s="2" t="str">
        <x:v>Assumed asset grant</x:v>
      </x:c>
      <x:c r="D10" s="2" t="str">
        <x:v>GBP</x:v>
      </x:c>
      <x:c r="E10" s="33" t="n">
        <x:f>E9*'Assumptions'!$E$13</x:f>
        <x:v>156000</x:v>
      </x:c>
      <x:c r="F10" s="7"/>
      <x:c r="G10" s="7"/>
      <x:c r="H10" s="7"/>
      <x:c r="I10" s="7"/>
      <x:c r="J10" s="2"/>
    </x:row>
    <x:row r="11" ht="20" customHeight="1">
      <x:c r="A11" s="2"/>
      <x:c r="B11" s="2"/>
      <x:c r="C11" s="2" t="str">
        <x:v>Investor capital incl cash floor</x:v>
      </x:c>
      <x:c r="D11" s="2" t="str">
        <x:v>GBP</x:v>
      </x:c>
      <x:c r="E11" s="33" t="n">
        <x:f>E9+'Assumptions'!$E$12-E10</x:f>
        <x:v>424000</x:v>
      </x:c>
      <x:c r="F11" s="7"/>
      <x:c r="G11" s="7"/>
      <x:c r="H11" s="7"/>
      <x:c r="I11" s="7"/>
      <x:c r="J11" s="2"/>
    </x:row>
    <x:row r="12" ht="20" customHeight="1">
      <x:c r="A12" s="2"/>
      <x:c r="B12" s="2"/>
      <x:c r="C12" s="2" t="str">
        <x:v>Maximum cumulative investor payment</x:v>
      </x:c>
      <x:c r="D12" s="2" t="str">
        <x:v>GBP</x:v>
      </x:c>
      <x:c r="E12" s="33" t="n">
        <x:f>E11*'Assumptions'!$E$14</x:f>
        <x:v>636000</x:v>
      </x:c>
      <x:c r="F12" s="7"/>
      <x:c r="G12" s="7"/>
      <x:c r="H12" s="7"/>
      <x:c r="I12" s="7"/>
      <x:c r="J12" s="2"/>
    </x:row>
    <x:row r="13" ht="20" customHeight="1">
      <x:c r="A13" s="2"/>
      <x:c r="B13" s="2"/>
      <x:c r="C13" s="2"/>
      <x:c r="D13" s="2"/>
      <x:c r="E13" s="7"/>
      <x:c r="F13" s="7"/>
      <x:c r="G13" s="7"/>
      <x:c r="H13" s="7"/>
      <x:c r="I13" s="7"/>
      <x:c r="J13" s="2"/>
    </x:row>
    <x:row r="14" ht="36" customHeight="1">
      <x:c r="A14" s="2"/>
      <x:c r="B14" s="2"/>
      <x:c r="C14" s="21" t="str">
        <x:v>No secondary liquidity is assumed. No final sale or release of working capital is included. Returns are five-year cash distributions only.</x:v>
      </x:c>
      <x:c r="D14" s="21"/>
      <x:c r="E14" s="22"/>
      <x:c r="F14" s="22"/>
      <x:c r="G14" s="22"/>
      <x:c r="H14" s="22"/>
      <x:c r="I14" s="22"/>
      <x:c r="J14" s="2"/>
    </x:row>
    <x:row r="15" ht="20" customHeight="1">
      <x:c r="A15" s="2"/>
      <x:c r="B15" s="2"/>
      <x:c r="C15" s="2"/>
      <x:c r="D15" s="2"/>
      <x:c r="E15" s="7"/>
      <x:c r="F15" s="7"/>
      <x:c r="G15" s="7"/>
      <x:c r="H15" s="7"/>
      <x:c r="I15" s="7"/>
      <x:c r="J15" s="2"/>
    </x:row>
    <x:row r="16" ht="20" customHeight="1">
      <x:c r="A16" s="2"/>
      <x:c r="B16" s="2"/>
      <x:c r="C16" s="2"/>
      <x:c r="D16" s="2"/>
      <x:c r="E16" s="7" t="str">
        <x:v>FY28</x:v>
      </x:c>
      <x:c r="F16" s="7" t="str">
        <x:v>FY29</x:v>
      </x:c>
      <x:c r="G16" s="7" t="str">
        <x:v>FY30</x:v>
      </x:c>
      <x:c r="H16" s="7" t="str">
        <x:v>FY31</x:v>
      </x:c>
      <x:c r="I16" s="7" t="str">
        <x:v>FY32</x:v>
      </x:c>
      <x:c r="J16" s="2"/>
    </x:row>
    <x:row r="17" ht="20" customHeight="1">
      <x:c r="A17" s="2"/>
      <x:c r="B17" s="2"/>
      <x:c r="C17" s="2" t="str">
        <x:v>Available GPU hours</x:v>
      </x:c>
      <x:c r="D17" s="2" t="str">
        <x:v>hours</x:v>
      </x:c>
      <x:c r="E17" s="33" t="n">
        <x:f>'Assumptions'!$E$9*'Assumptions'!$E$29*'Assumptions'!$E$15</x:f>
        <x:v>133152</x:v>
      </x:c>
      <x:c r="F17" s="33" t="n">
        <x:f>'Assumptions'!$E$9*'Assumptions'!$E$29*'Assumptions'!$E$15</x:f>
        <x:v>133152</x:v>
      </x:c>
      <x:c r="G17" s="33" t="n">
        <x:f>'Assumptions'!$E$9*'Assumptions'!$E$29*'Assumptions'!$E$15</x:f>
        <x:v>133152</x:v>
      </x:c>
      <x:c r="H17" s="33" t="n">
        <x:f>'Assumptions'!$E$9*'Assumptions'!$E$29*'Assumptions'!$E$15</x:f>
        <x:v>133152</x:v>
      </x:c>
      <x:c r="I17" s="33" t="n">
        <x:f>'Assumptions'!$E$9*'Assumptions'!$E$29*'Assumptions'!$E$15</x:f>
        <x:v>133152</x:v>
      </x:c>
      <x:c r="J17" s="2"/>
    </x:row>
    <x:row r="18" ht="20" customHeight="1">
      <x:c r="A18" s="2"/>
      <x:c r="B18" s="2"/>
      <x:c r="C18" s="2" t="str">
        <x:v>Realized sales price</x:v>
      </x:c>
      <x:c r="D18" s="2" t="str">
        <x:v>GBP/hr</x:v>
      </x:c>
      <x:c r="E18" s="35" t="n">
        <x:f>'Assumptions'!E52</x:f>
        <x:v>2.75</x:v>
      </x:c>
      <x:c r="F18" s="35" t="n">
        <x:f>'Assumptions'!F52</x:f>
        <x:v>2.42</x:v>
      </x:c>
      <x:c r="G18" s="35" t="n">
        <x:f>'Assumptions'!G52</x:f>
        <x:v>2.1296</x:v>
      </x:c>
      <x:c r="H18" s="35" t="n">
        <x:f>'Assumptions'!H52</x:f>
        <x:v>1.874048</x:v>
      </x:c>
      <x:c r="I18" s="35" t="n">
        <x:f>'Assumptions'!I52</x:f>
        <x:v>1.64916224</x:v>
      </x:c>
      <x:c r="J18" s="2"/>
    </x:row>
    <x:row r="19" ht="20" customHeight="1">
      <x:c r="A19" s="2"/>
      <x:c r="B19" s="2"/>
      <x:c r="C19" s="2" t="str">
        <x:v>Paid utilization / available hours</x:v>
      </x:c>
      <x:c r="D19" s="2" t="str">
        <x:v>%</x:v>
      </x:c>
      <x:c r="E19" s="34" t="n">
        <x:f>'Assumptions'!E58</x:f>
        <x:v>0.65</x:v>
      </x:c>
      <x:c r="F19" s="34" t="n">
        <x:f>'Assumptions'!F58</x:f>
        <x:v>0.75</x:v>
      </x:c>
      <x:c r="G19" s="34" t="n">
        <x:f>'Assumptions'!G58</x:f>
        <x:v>0.78</x:v>
      </x:c>
      <x:c r="H19" s="34" t="n">
        <x:f>'Assumptions'!H58</x:f>
        <x:v>0.78</x:v>
      </x:c>
      <x:c r="I19" s="34" t="n">
        <x:f>'Assumptions'!I58</x:f>
        <x:v>0.75</x:v>
      </x:c>
      <x:c r="J19" s="2"/>
    </x:row>
    <x:row r="20" ht="20" customHeight="1">
      <x:c r="A20" s="2"/>
      <x:c r="B20" s="2"/>
      <x:c r="C20" s="2" t="str">
        <x:v>Free research hours not revenue</x:v>
      </x:c>
      <x:c r="D20" s="2" t="str">
        <x:v>hours</x:v>
      </x:c>
      <x:c r="E20" s="33" t="n">
        <x:f>E17*'Assumptions'!$E$16</x:f>
        <x:v>13315.2</x:v>
      </x:c>
      <x:c r="F20" s="33" t="n">
        <x:f>F17*'Assumptions'!$E$16</x:f>
        <x:v>13315.2</x:v>
      </x:c>
      <x:c r="G20" s="33" t="n">
        <x:f>G17*'Assumptions'!$E$16</x:f>
        <x:v>13315.2</x:v>
      </x:c>
      <x:c r="H20" s="33" t="n">
        <x:f>H17*'Assumptions'!$E$16</x:f>
        <x:v>13315.2</x:v>
      </x:c>
      <x:c r="I20" s="33" t="n">
        <x:f>I17*'Assumptions'!$E$16</x:f>
        <x:v>13315.2</x:v>
      </x:c>
      <x:c r="J20" s="2"/>
    </x:row>
    <x:row r="21" ht="20" customHeight="1">
      <x:c r="A21" s="2"/>
      <x:c r="B21" s="2"/>
      <x:c r="C21" s="27" t="str">
        <x:v>External compute revenue</x:v>
      </x:c>
      <x:c r="D21" s="27" t="str">
        <x:v>GBP</x:v>
      </x:c>
      <x:c r="E21" s="28" t="n">
        <x:f>E17*E18*E19</x:f>
        <x:v>238009.2</x:v>
      </x:c>
      <x:c r="F21" s="28" t="n">
        <x:f>F17*F18*F19</x:f>
        <x:v>241670.87999999998</x:v>
      </x:c>
      <x:c r="G21" s="28" t="n">
        <x:f>G17*G18*G19</x:f>
        <x:v>221177.18937600002</x:v>
      </x:c>
      <x:c r="H21" s="28" t="n">
        <x:f>H17*H18*H19</x:f>
        <x:v>194635.92665088</x:v>
      </x:c>
      <x:c r="I21" s="28" t="n">
        <x:f>I17*I18*I19</x:f>
        <x:v>164691.93793535998</x:v>
      </x:c>
      <x:c r="J21" s="2"/>
    </x:row>
    <x:row r="22" ht="20" customHeight="1">
      <x:c r="A22" s="2"/>
      <x:c r="B22" s="2"/>
      <x:c r="C22" s="2" t="str">
        <x:v>Allocated provider facility electricity</x:v>
      </x:c>
      <x:c r="D22" s="2" t="str">
        <x:v>kWh</x:v>
      </x:c>
      <x:c r="E22" s="33" t="n">
        <x:f>'Assumptions'!$E$9*'Assumptions'!$E$29*('Assumptions'!$E$18+('Assumptions'!$E$17-'Assumptions'!$E$18)*'Assumptions'!$E$15*(E19+'Assumptions'!$E$16))*'Assumptions'!$E$19</x:f>
        <x:v>113950.07999999999</x:v>
      </x:c>
      <x:c r="F22" s="33" t="n">
        <x:f>'Assumptions'!$E$9*'Assumptions'!$E$29*('Assumptions'!$E$18+('Assumptions'!$E$17-'Assumptions'!$E$18)*'Assumptions'!$E$15*(F19+'Assumptions'!$E$16))*'Assumptions'!$E$19</x:f>
        <x:v>123537.02399999998</x:v>
      </x:c>
      <x:c r="G22" s="33" t="n">
        <x:f>'Assumptions'!$E$9*'Assumptions'!$E$29*('Assumptions'!$E$18+('Assumptions'!$E$17-'Assumptions'!$E$18)*'Assumptions'!$E$15*(G19+'Assumptions'!$E$16))*'Assumptions'!$E$19</x:f>
        <x:v>126413.10719999998</x:v>
      </x:c>
      <x:c r="H22" s="33" t="n">
        <x:f>'Assumptions'!$E$9*'Assumptions'!$E$29*('Assumptions'!$E$18+('Assumptions'!$E$17-'Assumptions'!$E$18)*'Assumptions'!$E$15*(H19+'Assumptions'!$E$16))*'Assumptions'!$E$19</x:f>
        <x:v>126413.10719999998</x:v>
      </x:c>
      <x:c r="I22" s="33" t="n">
        <x:f>'Assumptions'!$E$9*'Assumptions'!$E$29*('Assumptions'!$E$18+('Assumptions'!$E$17-'Assumptions'!$E$18)*'Assumptions'!$E$15*(I19+'Assumptions'!$E$16))*'Assumptions'!$E$19</x:f>
        <x:v>123537.02399999998</x:v>
      </x:c>
      <x:c r="J22" s="2"/>
    </x:row>
    <x:row r="23" ht="20" customHeight="1">
      <x:c r="A23" s="2"/>
      <x:c r="B23" s="2"/>
      <x:c r="C23" s="2" t="str">
        <x:v>Electricity cost</x:v>
      </x:c>
      <x:c r="D23" s="2" t="str">
        <x:v>GBP</x:v>
      </x:c>
      <x:c r="E23" s="33" t="n">
        <x:f>E22*'Assumptions'!$E$20*(1+'Assumptions'!$E$25)^0</x:f>
        <x:v>11395.008</x:v>
      </x:c>
      <x:c r="F23" s="33" t="n">
        <x:f>F22*'Assumptions'!$E$20*(1+'Assumptions'!$E$25)^1</x:f>
        <x:v>12724.313471999998</x:v>
      </x:c>
      <x:c r="G23" s="33" t="n">
        <x:f>G22*'Assumptions'!$E$20*(1+'Assumptions'!$E$25)^2</x:f>
        <x:v>13411.166542848</x:v>
      </x:c>
      <x:c r="H23" s="33" t="n">
        <x:f>H22*'Assumptions'!$E$20*(1+'Assumptions'!$E$25)^3</x:f>
        <x:v>13813.50153913344</x:v>
      </x:c>
      <x:c r="I23" s="33" t="n">
        <x:f>I22*'Assumptions'!$E$20*(1+'Assumptions'!$E$25)^4</x:f>
        <x:v>13904.200887318144</x:v>
      </x:c>
      <x:c r="J23" s="2"/>
    </x:row>
    <x:row r="24" ht="20" customHeight="1">
      <x:c r="A24" s="2"/>
      <x:c r="B24" s="2"/>
      <x:c r="C24" s="2" t="str">
        <x:v>Provider hosting and fixed service</x:v>
      </x:c>
      <x:c r="D24" s="2" t="str">
        <x:v>GBP</x:v>
      </x:c>
      <x:c r="E24" s="33" t="n">
        <x:f>'Assumptions'!$E$21*(1+'Assumptions'!$E$25)^0</x:f>
        <x:v>48000</x:v>
      </x:c>
      <x:c r="F24" s="33" t="n">
        <x:f>'Assumptions'!$E$21*(1+'Assumptions'!$E$25)^1</x:f>
        <x:v>49440</x:v>
      </x:c>
      <x:c r="G24" s="33" t="n">
        <x:f>'Assumptions'!$E$21*(1+'Assumptions'!$E$25)^2</x:f>
        <x:v>50923.2</x:v>
      </x:c>
      <x:c r="H24" s="33" t="n">
        <x:f>'Assumptions'!$E$21*(1+'Assumptions'!$E$25)^3</x:f>
        <x:v>52450.896</x:v>
      </x:c>
      <x:c r="I24" s="33" t="n">
        <x:f>'Assumptions'!$E$21*(1+'Assumptions'!$E$25)^4</x:f>
        <x:v>54024.422880000006</x:v>
      </x:c>
      <x:c r="J24" s="2"/>
    </x:row>
    <x:row r="25" ht="20" customHeight="1">
      <x:c r="A25" s="2"/>
      <x:c r="B25" s="2"/>
      <x:c r="C25" s="2" t="str">
        <x:v>Insurance and maintenance</x:v>
      </x:c>
      <x:c r="D25" s="2" t="str">
        <x:v>GBP</x:v>
      </x:c>
      <x:c r="E25" s="33" t="n">
        <x:f>$E$9*'Assumptions'!$E$22</x:f>
        <x:v>10400</x:v>
      </x:c>
      <x:c r="F25" s="33" t="n">
        <x:f>$E$9*'Assumptions'!$E$22</x:f>
        <x:v>10400</x:v>
      </x:c>
      <x:c r="G25" s="33" t="n">
        <x:f>$E$9*'Assumptions'!$E$22</x:f>
        <x:v>10400</x:v>
      </x:c>
      <x:c r="H25" s="33" t="n">
        <x:f>$E$9*'Assumptions'!$E$22</x:f>
        <x:v>10400</x:v>
      </x:c>
      <x:c r="I25" s="33" t="n">
        <x:f>$E$9*'Assumptions'!$E$22</x:f>
        <x:v>10400</x:v>
      </x:c>
      <x:c r="J25" s="2"/>
    </x:row>
    <x:row r="26" ht="20" customHeight="1">
      <x:c r="A26" s="2"/>
      <x:c r="B26" s="2"/>
      <x:c r="C26" s="2" t="str">
        <x:v>External provider management fee</x:v>
      </x:c>
      <x:c r="D26" s="2" t="str">
        <x:v>GBP</x:v>
      </x:c>
      <x:c r="E26" s="33" t="n">
        <x:f>E21*'Assumptions'!$E$23</x:f>
        <x:v>19040.736</x:v>
      </x:c>
      <x:c r="F26" s="33" t="n">
        <x:f>F21*'Assumptions'!$E$23</x:f>
        <x:v>19333.6704</x:v>
      </x:c>
      <x:c r="G26" s="33" t="n">
        <x:f>G21*'Assumptions'!$E$23</x:f>
        <x:v>17694.175150080002</x:v>
      </x:c>
      <x:c r="H26" s="33" t="n">
        <x:f>H21*'Assumptions'!$E$23</x:f>
        <x:v>15570.8741320704</x:v>
      </x:c>
      <x:c r="I26" s="33" t="n">
        <x:f>I21*'Assumptions'!$E$23</x:f>
        <x:v>13175.355034828799</x:v>
      </x:c>
      <x:c r="J26" s="2"/>
    </x:row>
    <x:row r="27" ht="20" customHeight="1">
      <x:c r="A27" s="2"/>
      <x:c r="B27" s="2"/>
      <x:c r="C27" s="27" t="str">
        <x:v>Operating profit before depreciation</x:v>
      </x:c>
      <x:c r="D27" s="27" t="str">
        <x:v>GBP</x:v>
      </x:c>
      <x:c r="E27" s="28" t="n">
        <x:f>E21-SUM(E23:E26)</x:f>
        <x:v>149173.456</x:v>
      </x:c>
      <x:c r="F27" s="28" t="n">
        <x:f>F21-SUM(F23:F26)</x:f>
        <x:v>149772.896128</x:v>
      </x:c>
      <x:c r="G27" s="28" t="n">
        <x:f>G21-SUM(G23:G26)</x:f>
        <x:v>128748.64768307202</x:v>
      </x:c>
      <x:c r="H27" s="28" t="n">
        <x:f>H21-SUM(H23:H26)</x:f>
        <x:v>102400.65497967615</x:v>
      </x:c>
      <x:c r="I27" s="28" t="n">
        <x:f>I21-SUM(I23:I26)</x:f>
        <x:v>73187.95913321304</x:v>
      </x:c>
      <x:c r="J27" s="2"/>
    </x:row>
    <x:row r="28" ht="20" customHeight="1">
      <x:c r="A28" s="2"/>
      <x:c r="B28" s="2"/>
      <x:c r="C28" s="2" t="str">
        <x:v>Accounting depreciation</x:v>
      </x:c>
      <x:c r="D28" s="2" t="str">
        <x:v>GBP</x:v>
      </x:c>
      <x:c r="E28" s="33" t="n">
        <x:f>$E$9*(1-'Assumptions'!$E$28)/'Assumptions'!$E$27</x:f>
        <x:v>93600</x:v>
      </x:c>
      <x:c r="F28" s="33" t="n">
        <x:f>$E$9*(1-'Assumptions'!$E$28)/'Assumptions'!$E$27</x:f>
        <x:v>93600</x:v>
      </x:c>
      <x:c r="G28" s="33" t="n">
        <x:f>$E$9*(1-'Assumptions'!$E$28)/'Assumptions'!$E$27</x:f>
        <x:v>93600</x:v>
      </x:c>
      <x:c r="H28" s="33" t="n">
        <x:f>$E$9*(1-'Assumptions'!$E$28)/'Assumptions'!$E$27</x:f>
        <x:v>93600</x:v>
      </x:c>
      <x:c r="I28" s="33" t="n">
        <x:f>$E$9*(1-'Assumptions'!$E$28)/'Assumptions'!$E$27</x:f>
        <x:v>93600</x:v>
      </x:c>
      <x:c r="J28" s="2"/>
    </x:row>
    <x:row r="29" ht="20" customHeight="1">
      <x:c r="A29" s="2"/>
      <x:c r="B29" s="2"/>
      <x:c r="C29" s="2" t="str">
        <x:v>Operating profit after depreciation</x:v>
      </x:c>
      <x:c r="D29" s="2" t="str">
        <x:v>GBP</x:v>
      </x:c>
      <x:c r="E29" s="7" t="n">
        <x:f>E27-E28</x:f>
        <x:v>55573.456000000006</x:v>
      </x:c>
      <x:c r="F29" s="7" t="n">
        <x:f>F27-F28</x:f>
        <x:v>56172.89612799999</x:v>
      </x:c>
      <x:c r="G29" s="7" t="n">
        <x:f>G27-G28</x:f>
        <x:v>35148.64768307202</x:v>
      </x:c>
      <x:c r="H29" s="7" t="n">
        <x:f>H27-H28</x:f>
        <x:v>8800.654979676154</x:v>
      </x:c>
      <x:c r="I29" s="7" t="n">
        <x:f>I27-I28</x:f>
        <x:v>-20412.040866786963</x:v>
      </x:c>
      <x:c r="J29" s="2"/>
    </x:row>
    <x:row r="30" ht="20" customHeight="1">
      <x:c r="A30" s="2"/>
      <x:c r="B30" s="2"/>
      <x:c r="C30" s="2" t="str">
        <x:v>Opening loss carryforward</x:v>
      </x:c>
      <x:c r="D30" s="2" t="str">
        <x:v>GBP</x:v>
      </x:c>
      <x:c r="E30" s="7" t="n">
        <x:f>0</x:f>
        <x:v>0</x:v>
      </x:c>
      <x:c r="F30" s="7" t="n">
        <x:f>E33</x:f>
        <x:v>0</x:v>
      </x:c>
      <x:c r="G30" s="7" t="n">
        <x:f>F33</x:f>
        <x:v>0</x:v>
      </x:c>
      <x:c r="H30" s="7" t="n">
        <x:f>G33</x:f>
        <x:v>0</x:v>
      </x:c>
      <x:c r="I30" s="7" t="n">
        <x:f>H33</x:f>
        <x:v>0</x:v>
      </x:c>
      <x:c r="J30" s="2"/>
    </x:row>
    <x:row r="31" ht="20" customHeight="1">
      <x:c r="A31" s="2"/>
      <x:c r="B31" s="2"/>
      <x:c r="C31" s="2" t="str">
        <x:v>Taxable income after losses</x:v>
      </x:c>
      <x:c r="D31" s="2" t="str">
        <x:v>GBP</x:v>
      </x:c>
      <x:c r="E31" s="7" t="n">
        <x:f>MAX(0,E29-E30)</x:f>
        <x:v>55573.456000000006</x:v>
      </x:c>
      <x:c r="F31" s="7" t="n">
        <x:f>MAX(0,F29-F30)</x:f>
        <x:v>56172.89612799999</x:v>
      </x:c>
      <x:c r="G31" s="7" t="n">
        <x:f>MAX(0,G29-G30)</x:f>
        <x:v>35148.64768307202</x:v>
      </x:c>
      <x:c r="H31" s="7" t="n">
        <x:f>MAX(0,H29-H30)</x:f>
        <x:v>8800.654979676154</x:v>
      </x:c>
      <x:c r="I31" s="7" t="n">
        <x:f>MAX(0,I29-I30)</x:f>
        <x:v>0</x:v>
      </x:c>
      <x:c r="J31" s="2"/>
    </x:row>
    <x:row r="32" ht="20" customHeight="1">
      <x:c r="A32" s="2"/>
      <x:c r="B32" s="2"/>
      <x:c r="C32" s="2" t="str">
        <x:v>Cash tax placeholder</x:v>
      </x:c>
      <x:c r="D32" s="2" t="str">
        <x:v>GBP</x:v>
      </x:c>
      <x:c r="E32" s="33" t="n">
        <x:f>E31*'Assumptions'!$E$26</x:f>
        <x:v>13893.364000000001</x:v>
      </x:c>
      <x:c r="F32" s="33" t="n">
        <x:f>F31*'Assumptions'!$E$26</x:f>
        <x:v>14043.224031999998</x:v>
      </x:c>
      <x:c r="G32" s="33" t="n">
        <x:f>G31*'Assumptions'!$E$26</x:f>
        <x:v>8787.161920768005</x:v>
      </x:c>
      <x:c r="H32" s="33" t="n">
        <x:f>H31*'Assumptions'!$E$26</x:f>
        <x:v>2200.1637449190384</x:v>
      </x:c>
      <x:c r="I32" s="33" t="n">
        <x:f>I31*'Assumptions'!$E$26</x:f>
        <x:v>0</x:v>
      </x:c>
      <x:c r="J32" s="2"/>
    </x:row>
    <x:row r="33" ht="20" customHeight="1">
      <x:c r="A33" s="2"/>
      <x:c r="B33" s="2"/>
      <x:c r="C33" s="2" t="str">
        <x:v>Closing loss carryforward</x:v>
      </x:c>
      <x:c r="D33" s="2" t="str">
        <x:v>GBP</x:v>
      </x:c>
      <x:c r="E33" s="7" t="n">
        <x:f>MAX(0,E30-E29)</x:f>
        <x:v>0</x:v>
      </x:c>
      <x:c r="F33" s="7" t="n">
        <x:f>MAX(0,F30-F29)</x:f>
        <x:v>0</x:v>
      </x:c>
      <x:c r="G33" s="7" t="n">
        <x:f>MAX(0,G30-G29)</x:f>
        <x:v>0</x:v>
      </x:c>
      <x:c r="H33" s="7" t="n">
        <x:f>MAX(0,H30-H29)</x:f>
        <x:v>0</x:v>
      </x:c>
      <x:c r="I33" s="7" t="n">
        <x:f>MAX(0,I30-I29)</x:f>
        <x:v>20412.040866786963</x:v>
      </x:c>
      <x:c r="J33" s="2"/>
    </x:row>
    <x:row r="34" ht="20" customHeight="1">
      <x:c r="A34" s="2"/>
      <x:c r="B34" s="2"/>
      <x:c r="C34" s="27" t="str">
        <x:v>Operating cash flow</x:v>
      </x:c>
      <x:c r="D34" s="27" t="str">
        <x:v>GBP</x:v>
      </x:c>
      <x:c r="E34" s="28" t="n">
        <x:f>E27-E32</x:f>
        <x:v>135280.092</x:v>
      </x:c>
      <x:c r="F34" s="28" t="n">
        <x:f>F27-F32</x:f>
        <x:v>135729.672096</x:v>
      </x:c>
      <x:c r="G34" s="28" t="n">
        <x:f>G27-G32</x:f>
        <x:v>119961.48576230402</x:v>
      </x:c>
      <x:c r="H34" s="28" t="n">
        <x:f>H27-H32</x:f>
        <x:v>100200.49123475712</x:v>
      </x:c>
      <x:c r="I34" s="28" t="n">
        <x:f>I27-I32</x:f>
        <x:v>73187.95913321304</x:v>
      </x:c>
      <x:c r="J34" s="2"/>
    </x:row>
    <x:row r="35" ht="20" customHeight="1">
      <x:c r="A35" s="2"/>
      <x:c r="B35" s="2"/>
      <x:c r="C35" s="2" t="str">
        <x:v>Opening unrestricted cash</x:v>
      </x:c>
      <x:c r="D35" s="2" t="str">
        <x:v>GBP</x:v>
      </x:c>
      <x:c r="E35" s="33" t="n">
        <x:f>'Assumptions'!$E$12</x:f>
        <x:v>60000</x:v>
      </x:c>
      <x:c r="F35" s="7" t="n">
        <x:f>E46</x:f>
        <x:v>60000</x:v>
      </x:c>
      <x:c r="G35" s="7" t="n">
        <x:f>F46</x:f>
        <x:v>60000</x:v>
      </x:c>
      <x:c r="H35" s="7" t="n">
        <x:f>G46</x:f>
        <x:v>60000</x:v>
      </x:c>
      <x:c r="I35" s="7" t="n">
        <x:f>H46</x:f>
        <x:v>60000</x:v>
      </x:c>
      <x:c r="J35" s="2"/>
    </x:row>
    <x:row r="36" ht="20" customHeight="1">
      <x:c r="A36" s="2"/>
      <x:c r="B36" s="2"/>
      <x:c r="C36" s="2" t="str">
        <x:v>Cash before renewal allocation</x:v>
      </x:c>
      <x:c r="D36" s="2" t="str">
        <x:v>GBP</x:v>
      </x:c>
      <x:c r="E36" s="7" t="n">
        <x:f>E35+E34</x:f>
        <x:v>195280.092</x:v>
      </x:c>
      <x:c r="F36" s="7" t="n">
        <x:f>F35+F34</x:f>
        <x:v>195729.672096</x:v>
      </x:c>
      <x:c r="G36" s="7" t="n">
        <x:f>G35+G34</x:f>
        <x:v>179961.48576230402</x:v>
      </x:c>
      <x:c r="H36" s="7" t="n">
        <x:f>H35+H34</x:f>
        <x:v>160200.49123475712</x:v>
      </x:c>
      <x:c r="I36" s="7" t="n">
        <x:f>I35+I34</x:f>
        <x:v>133187.95913321304</x:v>
      </x:c>
      <x:c r="J36" s="2"/>
    </x:row>
    <x:row r="37" ht="20" customHeight="1">
      <x:c r="A37" s="2"/>
      <x:c r="B37" s="2"/>
      <x:c r="C37" s="2" t="str">
        <x:v>Target renewal allocation</x:v>
      </x:c>
      <x:c r="D37" s="2" t="str">
        <x:v>GBP</x:v>
      </x:c>
      <x:c r="E37" s="33" t="n">
        <x:f>E21*'Assumptions'!$E$24</x:f>
        <x:v>28561.104</x:v>
      </x:c>
      <x:c r="F37" s="33" t="n">
        <x:f>F21*'Assumptions'!$E$24</x:f>
        <x:v>29000.505599999997</x:v>
      </x:c>
      <x:c r="G37" s="33" t="n">
        <x:f>G21*'Assumptions'!$E$24</x:f>
        <x:v>26541.262725120003</x:v>
      </x:c>
      <x:c r="H37" s="33" t="n">
        <x:f>H21*'Assumptions'!$E$24</x:f>
        <x:v>23356.3111981056</x:v>
      </x:c>
      <x:c r="I37" s="33" t="n">
        <x:f>I21*'Assumptions'!$E$24</x:f>
        <x:v>19763.032552243196</x:v>
      </x:c>
      <x:c r="J37" s="2"/>
    </x:row>
    <x:row r="38" ht="20" customHeight="1">
      <x:c r="A38" s="2"/>
      <x:c r="B38" s="2"/>
      <x:c r="C38" s="2" t="str">
        <x:v>Actual renewal allocation</x:v>
      </x:c>
      <x:c r="D38" s="2" t="str">
        <x:v>GBP</x:v>
      </x:c>
      <x:c r="E38" s="33" t="n">
        <x:f>MIN(E37,MAX(0,E36-'Assumptions'!$E$12))</x:f>
        <x:v>28561.104</x:v>
      </x:c>
      <x:c r="F38" s="33" t="n">
        <x:f>MIN(F37,MAX(0,F36-'Assumptions'!$E$12))</x:f>
        <x:v>29000.505599999997</x:v>
      </x:c>
      <x:c r="G38" s="33" t="n">
        <x:f>MIN(G37,MAX(0,G36-'Assumptions'!$E$12))</x:f>
        <x:v>26541.262725120003</x:v>
      </x:c>
      <x:c r="H38" s="33" t="n">
        <x:f>MIN(H37,MAX(0,H36-'Assumptions'!$E$12))</x:f>
        <x:v>23356.3111981056</x:v>
      </x:c>
      <x:c r="I38" s="33" t="n">
        <x:f>MIN(I37,MAX(0,I36-'Assumptions'!$E$12))</x:f>
        <x:v>19763.032552243196</x:v>
      </x:c>
      <x:c r="J38" s="2"/>
    </x:row>
    <x:row r="39" ht="20" customHeight="1">
      <x:c r="A39" s="2"/>
      <x:c r="B39" s="2"/>
      <x:c r="C39" s="2" t="str">
        <x:v>Opening restricted renewal reserve</x:v>
      </x:c>
      <x:c r="D39" s="2" t="str">
        <x:v>GBP</x:v>
      </x:c>
      <x:c r="E39" s="7" t="n">
        <x:f>0</x:f>
        <x:v>0</x:v>
      </x:c>
      <x:c r="F39" s="7" t="n">
        <x:f>E40</x:f>
        <x:v>28561.104</x:v>
      </x:c>
      <x:c r="G39" s="7" t="n">
        <x:f>F40</x:f>
        <x:v>57561.609599999996</x:v>
      </x:c>
      <x:c r="H39" s="7" t="n">
        <x:f>G40</x:f>
        <x:v>84102.87232512</x:v>
      </x:c>
      <x:c r="I39" s="7" t="n">
        <x:f>H40</x:f>
        <x:v>107459.1835232256</x:v>
      </x:c>
      <x:c r="J39" s="2"/>
    </x:row>
    <x:row r="40" ht="20" customHeight="1">
      <x:c r="A40" s="2"/>
      <x:c r="B40" s="2"/>
      <x:c r="C40" s="27" t="str">
        <x:v>Closing restricted renewal reserve</x:v>
      </x:c>
      <x:c r="D40" s="27" t="str">
        <x:v>GBP</x:v>
      </x:c>
      <x:c r="E40" s="28" t="n">
        <x:f>E39+E38</x:f>
        <x:v>28561.104</x:v>
      </x:c>
      <x:c r="F40" s="28" t="n">
        <x:f>F39+F38</x:f>
        <x:v>57561.609599999996</x:v>
      </x:c>
      <x:c r="G40" s="28" t="n">
        <x:f>G39+G38</x:f>
        <x:v>84102.87232512</x:v>
      </x:c>
      <x:c r="H40" s="28" t="n">
        <x:f>H39+H38</x:f>
        <x:v>107459.1835232256</x:v>
      </x:c>
      <x:c r="I40" s="28" t="n">
        <x:f>I39+I38</x:f>
        <x:v>127222.2160754688</x:v>
      </x:c>
      <x:c r="J40" s="2"/>
    </x:row>
    <x:row r="41" ht="20" customHeight="1">
      <x:c r="A41" s="2"/>
      <x:c r="B41" s="2"/>
      <x:c r="C41" s="2" t="str">
        <x:v>Cash distributable above liquidity floor</x:v>
      </x:c>
      <x:c r="D41" s="2" t="str">
        <x:v>GBP</x:v>
      </x:c>
      <x:c r="E41" s="33" t="n">
        <x:f>MAX(0,E36-E38-'Assumptions'!$E$12)</x:f>
        <x:v>106718.98800000001</x:v>
      </x:c>
      <x:c r="F41" s="33" t="n">
        <x:f>MAX(0,F36-F38-'Assumptions'!$E$12)</x:f>
        <x:v>106729.16649599999</x:v>
      </x:c>
      <x:c r="G41" s="33" t="n">
        <x:f>MAX(0,G36-G38-'Assumptions'!$E$12)</x:f>
        <x:v>93420.22303718401</x:v>
      </x:c>
      <x:c r="H41" s="33" t="n">
        <x:f>MAX(0,H36-H38-'Assumptions'!$E$12)</x:f>
        <x:v>76844.18003665152</x:v>
      </x:c>
      <x:c r="I41" s="33" t="n">
        <x:f>MAX(0,I36-I38-'Assumptions'!$E$12)</x:f>
        <x:v>53424.92658096984</x:v>
      </x:c>
      <x:c r="J41" s="2"/>
    </x:row>
    <x:row r="42" ht="20" customHeight="1">
      <x:c r="A42" s="2"/>
      <x:c r="B42" s="2"/>
      <x:c r="C42" s="27" t="str">
        <x:v>Investor payment capped</x:v>
      </x:c>
      <x:c r="D42" s="27" t="str">
        <x:v>GBP</x:v>
      </x:c>
      <x:c r="E42" s="28" t="n">
        <x:f>MIN(MAX(0,$E$12-0),E41)</x:f>
        <x:v>106718.98800000001</x:v>
      </x:c>
      <x:c r="F42" s="28" t="n">
        <x:f>MIN(MAX(0,$E$12-E43),F41)</x:f>
        <x:v>106729.16649599999</x:v>
      </x:c>
      <x:c r="G42" s="28" t="n">
        <x:f>MIN(MAX(0,$E$12-F43),G41)</x:f>
        <x:v>93420.22303718401</x:v>
      </x:c>
      <x:c r="H42" s="28" t="n">
        <x:f>MIN(MAX(0,$E$12-G43),H41)</x:f>
        <x:v>76844.18003665152</x:v>
      </x:c>
      <x:c r="I42" s="28" t="n">
        <x:f>MIN(MAX(0,$E$12-H43),I41)</x:f>
        <x:v>53424.92658096984</x:v>
      </x:c>
      <x:c r="J42" s="2"/>
    </x:row>
    <x:row r="43" ht="20" customHeight="1">
      <x:c r="A43" s="2"/>
      <x:c r="B43" s="2"/>
      <x:c r="C43" s="2" t="str">
        <x:v>Cumulative investor payments</x:v>
      </x:c>
      <x:c r="D43" s="2" t="str">
        <x:v>GBP</x:v>
      </x:c>
      <x:c r="E43" s="7" t="n">
        <x:f>E42</x:f>
        <x:v>106718.98800000001</x:v>
      </x:c>
      <x:c r="F43" s="7" t="n">
        <x:f>E43+F42</x:f>
        <x:v>213448.154496</x:v>
      </x:c>
      <x:c r="G43" s="7" t="n">
        <x:f>F43+G42</x:f>
        <x:v>306868.377533184</x:v>
      </x:c>
      <x:c r="H43" s="7" t="n">
        <x:f>G43+H42</x:f>
        <x:v>383712.55756983557</x:v>
      </x:c>
      <x:c r="I43" s="7" t="n">
        <x:f>H43+I42</x:f>
        <x:v>437137.4841508054</x:v>
      </x:c>
      <x:c r="J43" s="2"/>
    </x:row>
    <x:row r="44" ht="20" customHeight="1">
      <x:c r="A44" s="2"/>
      <x:c r="B44" s="2"/>
      <x:c r="C44" s="2" t="str">
        <x:v>Remaining maximum investor entitlement</x:v>
      </x:c>
      <x:c r="D44" s="2" t="str">
        <x:v>GBP</x:v>
      </x:c>
      <x:c r="E44" s="7" t="n">
        <x:f>MAX(0,$E$12-E43)</x:f>
        <x:v>529281.012</x:v>
      </x:c>
      <x:c r="F44" s="7" t="n">
        <x:f>MAX(0,$E$12-F43)</x:f>
        <x:v>422551.84550399997</x:v>
      </x:c>
      <x:c r="G44" s="7" t="n">
        <x:f>MAX(0,$E$12-G43)</x:f>
        <x:v>329131.622466816</x:v>
      </x:c>
      <x:c r="H44" s="7" t="n">
        <x:f>MAX(0,$E$12-H43)</x:f>
        <x:v>252287.44243016443</x:v>
      </x:c>
      <x:c r="I44" s="7" t="n">
        <x:f>MAX(0,$E$12-I43)</x:f>
        <x:v>198862.5158491946</x:v>
      </x:c>
      <x:c r="J44" s="2"/>
    </x:row>
    <x:row r="45" ht="20" customHeight="1">
      <x:c r="A45" s="2"/>
      <x:c r="B45" s="2"/>
      <x:c r="C45" s="2" t="str">
        <x:v>Post cap commons distribution</x:v>
      </x:c>
      <x:c r="D45" s="2" t="str">
        <x:v>GBP</x:v>
      </x:c>
      <x:c r="E45" s="7" t="n">
        <x:f>E41-E42</x:f>
        <x:v>0</x:v>
      </x:c>
      <x:c r="F45" s="7" t="n">
        <x:f>F41-F42</x:f>
        <x:v>0</x:v>
      </x:c>
      <x:c r="G45" s="7" t="n">
        <x:f>G41-G42</x:f>
        <x:v>0</x:v>
      </x:c>
      <x:c r="H45" s="7" t="n">
        <x:f>H41-H42</x:f>
        <x:v>0</x:v>
      </x:c>
      <x:c r="I45" s="7" t="n">
        <x:f>I41-I42</x:f>
        <x:v>0</x:v>
      </x:c>
      <x:c r="J45" s="2"/>
    </x:row>
    <x:row r="46" ht="20" customHeight="1">
      <x:c r="A46" s="2"/>
      <x:c r="B46" s="2"/>
      <x:c r="C46" s="27" t="str">
        <x:v>Closing unrestricted cash</x:v>
      </x:c>
      <x:c r="D46" s="27" t="str">
        <x:v>GBP</x:v>
      </x:c>
      <x:c r="E46" s="28" t="n">
        <x:f>E36-E38-E42-E45</x:f>
        <x:v>60000</x:v>
      </x:c>
      <x:c r="F46" s="28" t="n">
        <x:f>F36-F38-F42-F45</x:f>
        <x:v>60000</x:v>
      </x:c>
      <x:c r="G46" s="28" t="n">
        <x:f>G36-G38-G42-G45</x:f>
        <x:v>60000</x:v>
      </x:c>
      <x:c r="H46" s="28" t="n">
        <x:f>H36-H38-H42-H45</x:f>
        <x:v>60000</x:v>
      </x:c>
      <x:c r="I46" s="28" t="n">
        <x:f>I36-I38-I42-I45</x:f>
        <x:v>60000</x:v>
      </x:c>
      <x:c r="J46" s="2"/>
    </x:row>
    <x:row r="47" ht="20" customHeight="1">
      <x:c r="A47" s="2"/>
      <x:c r="B47" s="2"/>
      <x:c r="C47" s="2" t="str">
        <x:v>Unfunded negative cash balance</x:v>
      </x:c>
      <x:c r="D47" s="2" t="str">
        <x:v>GBP</x:v>
      </x:c>
      <x:c r="E47" s="7" t="n">
        <x:f>MAX(0,-E46)</x:f>
        <x:v>0</x:v>
      </x:c>
      <x:c r="F47" s="7" t="n">
        <x:f>MAX(0,-F46)</x:f>
        <x:v>0</x:v>
      </x:c>
      <x:c r="G47" s="7" t="n">
        <x:f>MAX(0,-G46)</x:f>
        <x:v>0</x:v>
      </x:c>
      <x:c r="H47" s="7" t="n">
        <x:f>MAX(0,-H46)</x:f>
        <x:v>0</x:v>
      </x:c>
      <x:c r="I47" s="7" t="n">
        <x:f>MAX(0,-I46)</x:f>
        <x:v>0</x:v>
      </x:c>
      <x:c r="J47" s="2"/>
    </x:row>
    <x:row r="48" ht="20" customHeight="1">
      <x:c r="A48" s="2"/>
      <x:c r="B48" s="2"/>
      <x:c r="C48" s="2" t="str">
        <x:v>Cash roll forward difference</x:v>
      </x:c>
      <x:c r="D48" s="2" t="str">
        <x:v>GBP</x:v>
      </x:c>
      <x:c r="E48" s="7" t="n">
        <x:f>E35+E34-E38-E42-E45-E46</x:f>
        <x:v>0</x:v>
      </x:c>
      <x:c r="F48" s="7" t="n">
        <x:f>F35+F34-F38-F42-F45-F46</x:f>
        <x:v>0</x:v>
      </x:c>
      <x:c r="G48" s="7" t="n">
        <x:f>G35+G34-G38-G42-G45-G46</x:f>
        <x:v>0</x:v>
      </x:c>
      <x:c r="H48" s="7" t="n">
        <x:f>H35+H34-H38-H42-H45-H46</x:f>
        <x:v>0</x:v>
      </x:c>
      <x:c r="I48" s="7" t="n">
        <x:f>I35+I34-I38-I42-I45-I46</x:f>
        <x:v>0</x:v>
      </x:c>
      <x:c r="J48" s="2"/>
    </x:row>
    <x:row r="49" ht="20" customHeight="1">
      <x:c r="A49" s="2"/>
      <x:c r="B49" s="2"/>
      <x:c r="C49" s="2" t="str">
        <x:v>Investor cash flows including time zero</x:v>
      </x:c>
      <x:c r="D49" s="7" t="n">
        <x:f>-E11</x:f>
        <x:v>-424000</x:v>
      </x:c>
      <x:c r="E49" s="7" t="n">
        <x:f>E42</x:f>
        <x:v>106718.98800000001</x:v>
      </x:c>
      <x:c r="F49" s="7" t="n">
        <x:f>F42</x:f>
        <x:v>106729.16649599999</x:v>
      </x:c>
      <x:c r="G49" s="7" t="n">
        <x:f>G42</x:f>
        <x:v>93420.22303718401</x:v>
      </x:c>
      <x:c r="H49" s="7" t="n">
        <x:f>H42</x:f>
        <x:v>76844.18003665152</x:v>
      </x:c>
      <x:c r="I49" s="7" t="n">
        <x:f>I42</x:f>
        <x:v>53424.92658096984</x:v>
      </x:c>
      <x:c r="J49" s="2"/>
    </x:row>
    <x:row r="50" ht="20" customHeight="1">
      <x:c r="A50" s="2"/>
      <x:c r="B50" s="2"/>
      <x:c r="C50" s="2" t="str">
        <x:v>Capacity headroom after research allocation</x:v>
      </x:c>
      <x:c r="D50" s="2" t="str">
        <x:v>%</x:v>
      </x:c>
      <x:c r="E50" s="34" t="n">
        <x:f>1-E19-'Assumptions'!$E$16</x:f>
        <x:v>0.24999999999999997</x:v>
      </x:c>
      <x:c r="F50" s="34" t="n">
        <x:f>1-F19-'Assumptions'!$E$16</x:f>
        <x:v>0.15</x:v>
      </x:c>
      <x:c r="G50" s="34" t="n">
        <x:f>1-G19-'Assumptions'!$E$16</x:f>
        <x:v>0.11999999999999997</x:v>
      </x:c>
      <x:c r="H50" s="34" t="n">
        <x:f>1-H19-'Assumptions'!$E$16</x:f>
        <x:v>0.11999999999999997</x:v>
      </x:c>
      <x:c r="I50" s="34" t="n">
        <x:f>1-I19-'Assumptions'!$E$16</x:f>
        <x:v>0.15</x:v>
      </x:c>
      <x:c r="J50" s="2"/>
    </x:row>
    <x:row r="51" ht="20" customHeight="1">
      <x:c r="A51" s="2"/>
      <x:c r="B51" s="2"/>
      <x:c r="C51" s="2"/>
      <x:c r="D51" s="2"/>
      <x:c r="E51" s="7"/>
      <x:c r="F51" s="7"/>
      <x:c r="G51" s="7"/>
      <x:c r="H51" s="7"/>
      <x:c r="I51" s="7"/>
      <x:c r="J51" s="2"/>
    </x:row>
    <x:row r="52" ht="36" customHeight="1">
      <x:c r="A52" s="2"/>
      <x:c r="B52" s="2"/>
      <x:c r="C52" s="21" t="str">
        <x:v>Optional asset case. Renewal reserve is ring fenced; the 12% target is inadequate in the base case.</x:v>
      </x:c>
      <x:c r="D52" s="21"/>
      <x:c r="E52" s="22"/>
      <x:c r="F52" s="22"/>
      <x:c r="G52" s="22"/>
      <x:c r="H52" s="22"/>
      <x:c r="I52" s="22"/>
      <x:c r="J52" s="2"/>
    </x:row>
    <x:row r="53" ht="20" customHeight="1">
      <x:c r="A53" s="2"/>
      <x:c r="B53" s="2"/>
      <x:c r="C53" s="2"/>
      <x:c r="D53" s="2"/>
      <x:c r="E53" s="7"/>
      <x:c r="F53" s="7"/>
      <x:c r="G53" s="7"/>
      <x:c r="H53" s="7"/>
      <x:c r="I53" s="7"/>
      <x:c r="J53" s="2"/>
    </x:row>
    <x:row r="54" ht="36" customHeight="1">
      <x:c r="A54" s="2"/>
      <x:c r="B54" s="2"/>
      <x:c r="C54" s="21" t="str">
        <x:v>A positive cash balance is not a funded replacement cycle. Model excludes financing fees, VAT timing and other items listed in Model Guide.</x:v>
      </x:c>
      <x:c r="D54" s="21"/>
      <x:c r="E54" s="22"/>
      <x:c r="F54" s="22"/>
      <x:c r="G54" s="22"/>
      <x:c r="H54" s="22"/>
      <x:c r="I54" s="22"/>
      <x:c r="J54" s="2"/>
    </x:row>
    <x:row r="55" ht="20" customHeight="1">
      <x:c r="A55" s="2"/>
      <x:c r="B55" s="2"/>
      <x:c r="C55" s="2"/>
      <x:c r="D55" s="2"/>
      <x:c r="E55" s="7"/>
      <x:c r="F55" s="7"/>
      <x:c r="G55" s="7"/>
      <x:c r="H55" s="7"/>
      <x:c r="I55" s="7"/>
      <x:c r="J55" s="2"/>
    </x:row>
    <x:row r="56" ht="20" customHeight="1">
      <x:c r="A56" s="2"/>
      <x:c r="B56" s="2"/>
      <x:c r="C56" s="2"/>
      <x:c r="D56" s="2"/>
      <x:c r="E56" s="7"/>
      <x:c r="F56" s="7"/>
      <x:c r="G56" s="7"/>
      <x:c r="H56" s="7"/>
      <x:c r="I56" s="7"/>
      <x:c r="J56" s="2"/>
    </x:row>
    <x:row r="57" ht="20" customHeight="1">
      <x:c r="A57" s="2"/>
      <x:c r="B57" s="2"/>
      <x:c r="C57" s="2"/>
      <x:c r="D57" s="2"/>
      <x:c r="E57" s="7"/>
      <x:c r="F57" s="7"/>
      <x:c r="G57" s="7"/>
      <x:c r="H57" s="7"/>
      <x:c r="I57" s="7"/>
      <x:c r="J57" s="2"/>
    </x:row>
  </x:sheetData>
  <x:mergeCells>
    <x:mergeCell ref="C2:I2"/>
    <x:mergeCell ref="C3:I4"/>
    <x:mergeCell ref="C8:I8"/>
    <x:mergeCell ref="C14:I14"/>
    <x:mergeCell ref="C52:I52"/>
    <x:mergeCell ref="C54:I54"/>
  </x:mergeCells>
  <x:conditionalFormatting sqref="E8:I95">
    <x:cfRule type="cellIs" dxfId="2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8354A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49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.200000047683716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2"/>
      <x:c r="B2" s="2"/>
      <x:c r="C2" s="3" t="str">
        <x:v>Institute operating model</x:v>
      </x:c>
      <x:c r="D2" s="3"/>
      <x:c r="E2" s="3"/>
      <x:c r="F2" s="3"/>
      <x:c r="G2" s="3"/>
      <x:c r="H2" s="3"/>
      <x:c r="I2" s="3"/>
      <x:c r="J2" s="2"/>
    </x:row>
    <x:row r="3" ht="20" customHeight="1">
      <x:c r="A3" s="2"/>
      <x:c r="B3" s="2"/>
      <x:c r="C3" s="5" t="str">
        <x:v>Separate research business. Grants are assumed received within each year. No asset-vehicle dividends or speculative IP revenue.</x:v>
      </x:c>
      <x:c r="D3" s="5"/>
      <x:c r="E3" s="5"/>
      <x:c r="F3" s="5"/>
      <x:c r="G3" s="5"/>
      <x:c r="H3" s="5"/>
      <x:c r="I3" s="5"/>
      <x:c r="J3" s="2"/>
    </x:row>
    <x:row r="4" ht="20" customHeight="1">
      <x:c r="A4" s="2"/>
      <x:c r="B4" s="2"/>
      <x:c r="C4" s="5"/>
      <x:c r="D4" s="5"/>
      <x:c r="E4" s="5"/>
      <x:c r="F4" s="5"/>
      <x:c r="G4" s="5"/>
      <x:c r="H4" s="5"/>
      <x:c r="I4" s="5"/>
      <x:c r="J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0" customHeight="1">
      <x:c r="A6" s="2"/>
      <x:c r="B6" s="2"/>
      <x:c r="C6" s="2" t="str">
        <x:v>Selected scenario</x:v>
      </x:c>
      <x:c r="D6" s="2"/>
      <x:c r="E6" s="6" t="str">
        <x:f>'Assumptions'!F6</x:f>
        <x:v>Base</x:v>
      </x:c>
      <x:c r="F6" s="2"/>
      <x:c r="G6" s="2"/>
      <x:c r="H6" s="2"/>
      <x:c r="I6" s="2"/>
      <x:c r="J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24" customHeight="1">
      <x:c r="A8" s="2"/>
      <x:c r="B8" s="2"/>
      <x:c r="C8" s="12" t="str">
        <x:v>Research operations  |  no assumed IP royalties</x:v>
      </x:c>
      <x:c r="D8" s="12"/>
      <x:c r="E8" s="13"/>
      <x:c r="F8" s="13"/>
      <x:c r="G8" s="13"/>
      <x:c r="H8" s="13"/>
      <x:c r="I8" s="13"/>
      <x:c r="J8" s="2"/>
    </x:row>
    <x:row r="9" ht="20" customHeight="1">
      <x:c r="A9" s="2"/>
      <x:c r="B9" s="2"/>
      <x:c r="C9" s="2"/>
      <x:c r="D9" s="2"/>
      <x:c r="E9" s="7" t="str">
        <x:v>FY28</x:v>
      </x:c>
      <x:c r="F9" s="7" t="str">
        <x:v>FY29</x:v>
      </x:c>
      <x:c r="G9" s="7" t="str">
        <x:v>FY30</x:v>
      </x:c>
      <x:c r="H9" s="7" t="str">
        <x:v>FY31</x:v>
      </x:c>
      <x:c r="I9" s="7" t="str">
        <x:v>FY32</x:v>
      </x:c>
      <x:c r="J9" s="2"/>
    </x:row>
    <x:row r="10" ht="20" customHeight="1">
      <x:c r="A10" s="2"/>
      <x:c r="B10" s="2"/>
      <x:c r="C10" s="2" t="str">
        <x:v>Institutional members</x:v>
      </x:c>
      <x:c r="D10" s="2" t="str">
        <x:v>count</x:v>
      </x:c>
      <x:c r="E10" s="33" t="n">
        <x:f>'Assumptions'!E64</x:f>
        <x:v>8</x:v>
      </x:c>
      <x:c r="F10" s="33" t="n">
        <x:f>'Assumptions'!F64</x:f>
        <x:v>12</x:v>
      </x:c>
      <x:c r="G10" s="33" t="n">
        <x:f>'Assumptions'!G64</x:f>
        <x:v>16</x:v>
      </x:c>
      <x:c r="H10" s="33" t="n">
        <x:f>'Assumptions'!H64</x:f>
        <x:v>20</x:v>
      </x:c>
      <x:c r="I10" s="33" t="n">
        <x:f>'Assumptions'!I64</x:f>
        <x:v>24</x:v>
      </x:c>
      <x:c r="J10" s="2"/>
    </x:row>
    <x:row r="11" ht="20" customHeight="1">
      <x:c r="A11" s="2"/>
      <x:c r="B11" s="2"/>
      <x:c r="C11" s="2" t="str">
        <x:v>Paid projects</x:v>
      </x:c>
      <x:c r="D11" s="2" t="str">
        <x:v>count</x:v>
      </x:c>
      <x:c r="E11" s="33" t="n">
        <x:f>'Assumptions'!E70</x:f>
        <x:v>3</x:v>
      </x:c>
      <x:c r="F11" s="33" t="n">
        <x:f>'Assumptions'!F70</x:f>
        <x:v>4</x:v>
      </x:c>
      <x:c r="G11" s="33" t="n">
        <x:f>'Assumptions'!G70</x:f>
        <x:v>5</x:v>
      </x:c>
      <x:c r="H11" s="33" t="n">
        <x:f>'Assumptions'!H70</x:f>
        <x:v>6</x:v>
      </x:c>
      <x:c r="I11" s="33" t="n">
        <x:f>'Assumptions'!I70</x:f>
        <x:v>7</x:v>
      </x:c>
      <x:c r="J11" s="2"/>
    </x:row>
    <x:row r="12" ht="20" customHeight="1">
      <x:c r="A12" s="2"/>
      <x:c r="B12" s="2"/>
      <x:c r="C12" s="2" t="str">
        <x:v>Service engagements</x:v>
      </x:c>
      <x:c r="D12" s="2" t="str">
        <x:v>count</x:v>
      </x:c>
      <x:c r="E12" s="33" t="n">
        <x:f>'Assumptions'!E76</x:f>
        <x:v>6</x:v>
      </x:c>
      <x:c r="F12" s="33" t="n">
        <x:f>'Assumptions'!F76</x:f>
        <x:v>10</x:v>
      </x:c>
      <x:c r="G12" s="33" t="n">
        <x:f>'Assumptions'!G76</x:f>
        <x:v>14</x:v>
      </x:c>
      <x:c r="H12" s="33" t="n">
        <x:f>'Assumptions'!H76</x:f>
        <x:v>18</x:v>
      </x:c>
      <x:c r="I12" s="33" t="n">
        <x:f>'Assumptions'!I76</x:f>
        <x:v>22</x:v>
      </x:c>
      <x:c r="J12" s="2"/>
    </x:row>
    <x:row r="13" ht="20" customHeight="1">
      <x:c r="A13" s="2"/>
      <x:c r="B13" s="2"/>
      <x:c r="C13" s="2" t="str">
        <x:v>Staff FTE</x:v>
      </x:c>
      <x:c r="D13" s="2" t="str">
        <x:v>FTE</x:v>
      </x:c>
      <x:c r="E13" s="36" t="n">
        <x:f>'Assumptions'!E82</x:f>
        <x:v>4</x:v>
      </x:c>
      <x:c r="F13" s="36" t="n">
        <x:f>'Assumptions'!F82</x:f>
        <x:v>5</x:v>
      </x:c>
      <x:c r="G13" s="36" t="n">
        <x:f>'Assumptions'!G82</x:f>
        <x:v>6</x:v>
      </x:c>
      <x:c r="H13" s="36" t="n">
        <x:f>'Assumptions'!H82</x:f>
        <x:v>7</x:v>
      </x:c>
      <x:c r="I13" s="36" t="n">
        <x:f>'Assumptions'!I82</x:f>
        <x:v>8</x:v>
      </x:c>
      <x:c r="J13" s="2"/>
    </x:row>
    <x:row r="14" ht="20" customHeight="1">
      <x:c r="A14" s="2"/>
      <x:c r="B14" s="2"/>
      <x:c r="C14" s="2" t="str">
        <x:v>Membership income</x:v>
      </x:c>
      <x:c r="D14" s="2" t="str">
        <x:v>GBP</x:v>
      </x:c>
      <x:c r="E14" s="33" t="n">
        <x:f>E10*'Assumptions'!$E$31</x:f>
        <x:v>200000</x:v>
      </x:c>
      <x:c r="F14" s="33" t="n">
        <x:f>F10*'Assumptions'!$E$31</x:f>
        <x:v>300000</x:v>
      </x:c>
      <x:c r="G14" s="33" t="n">
        <x:f>G10*'Assumptions'!$E$31</x:f>
        <x:v>400000</x:v>
      </x:c>
      <x:c r="H14" s="33" t="n">
        <x:f>H10*'Assumptions'!$E$31</x:f>
        <x:v>500000</x:v>
      </x:c>
      <x:c r="I14" s="33" t="n">
        <x:f>I10*'Assumptions'!$E$31</x:f>
        <x:v>600000</x:v>
      </x:c>
      <x:c r="J14" s="2"/>
    </x:row>
    <x:row r="15" ht="20" customHeight="1">
      <x:c r="A15" s="2"/>
      <x:c r="B15" s="2"/>
      <x:c r="C15" s="2" t="str">
        <x:v>Paid research income</x:v>
      </x:c>
      <x:c r="D15" s="2" t="str">
        <x:v>GBP</x:v>
      </x:c>
      <x:c r="E15" s="33" t="n">
        <x:f>E11*'Assumptions'!$E$32</x:f>
        <x:v>180000</x:v>
      </x:c>
      <x:c r="F15" s="33" t="n">
        <x:f>F11*'Assumptions'!$E$32</x:f>
        <x:v>240000</x:v>
      </x:c>
      <x:c r="G15" s="33" t="n">
        <x:f>G11*'Assumptions'!$E$32</x:f>
        <x:v>300000</x:v>
      </x:c>
      <x:c r="H15" s="33" t="n">
        <x:f>H11*'Assumptions'!$E$32</x:f>
        <x:v>360000</x:v>
      </x:c>
      <x:c r="I15" s="33" t="n">
        <x:f>I11*'Assumptions'!$E$32</x:f>
        <x:v>420000</x:v>
      </x:c>
      <x:c r="J15" s="2"/>
    </x:row>
    <x:row r="16" ht="20" customHeight="1">
      <x:c r="A16" s="2"/>
      <x:c r="B16" s="2"/>
      <x:c r="C16" s="2" t="str">
        <x:v>Service income</x:v>
      </x:c>
      <x:c r="D16" s="2" t="str">
        <x:v>GBP</x:v>
      </x:c>
      <x:c r="E16" s="33" t="n">
        <x:f>E12*'Assumptions'!$E$33</x:f>
        <x:v>108000</x:v>
      </x:c>
      <x:c r="F16" s="33" t="n">
        <x:f>F12*'Assumptions'!$E$33</x:f>
        <x:v>180000</x:v>
      </x:c>
      <x:c r="G16" s="33" t="n">
        <x:f>G12*'Assumptions'!$E$33</x:f>
        <x:v>252000</x:v>
      </x:c>
      <x:c r="H16" s="33" t="n">
        <x:f>H12*'Assumptions'!$E$33</x:f>
        <x:v>324000</x:v>
      </x:c>
      <x:c r="I16" s="33" t="n">
        <x:f>I12*'Assumptions'!$E$33</x:f>
        <x:v>396000</x:v>
      </x:c>
      <x:c r="J16" s="2"/>
    </x:row>
    <x:row r="17" ht="20" customHeight="1">
      <x:c r="A17" s="2"/>
      <x:c r="B17" s="2"/>
      <x:c r="C17" s="27" t="str">
        <x:v>Earned income</x:v>
      </x:c>
      <x:c r="D17" s="27" t="str">
        <x:v>GBP</x:v>
      </x:c>
      <x:c r="E17" s="28" t="n">
        <x:f>SUM(E14:E16)</x:f>
        <x:v>488000</x:v>
      </x:c>
      <x:c r="F17" s="28" t="n">
        <x:f>SUM(F14:F16)</x:f>
        <x:v>720000</x:v>
      </x:c>
      <x:c r="G17" s="28" t="n">
        <x:f>SUM(G14:G16)</x:f>
        <x:v>952000</x:v>
      </x:c>
      <x:c r="H17" s="28" t="n">
        <x:f>SUM(H14:H16)</x:f>
        <x:v>1184000</x:v>
      </x:c>
      <x:c r="I17" s="28" t="n">
        <x:f>SUM(I14:I16)</x:f>
        <x:v>1416000</x:v>
      </x:c>
      <x:c r="J17" s="2"/>
    </x:row>
    <x:row r="18" ht="20" customHeight="1">
      <x:c r="A18" s="2"/>
      <x:c r="B18" s="2"/>
      <x:c r="C18" s="2" t="str">
        <x:v>Grants received</x:v>
      </x:c>
      <x:c r="D18" s="2" t="str">
        <x:v>GBP</x:v>
      </x:c>
      <x:c r="E18" s="33" t="n">
        <x:f>'Assumptions'!E88</x:f>
        <x:v>300000</x:v>
      </x:c>
      <x:c r="F18" s="33" t="n">
        <x:f>'Assumptions'!F88</x:f>
        <x:v>250000</x:v>
      </x:c>
      <x:c r="G18" s="33" t="n">
        <x:f>'Assumptions'!G88</x:f>
        <x:v>200000</x:v>
      </x:c>
      <x:c r="H18" s="33" t="n">
        <x:f>'Assumptions'!H88</x:f>
        <x:v>150000</x:v>
      </x:c>
      <x:c r="I18" s="33" t="n">
        <x:f>'Assumptions'!I88</x:f>
        <x:v>100000</x:v>
      </x:c>
      <x:c r="J18" s="2"/>
    </x:row>
    <x:row r="19" ht="20" customHeight="1">
      <x:c r="A19" s="2"/>
      <x:c r="B19" s="2"/>
      <x:c r="C19" s="27" t="str">
        <x:v>Total income</x:v>
      </x:c>
      <x:c r="D19" s="27" t="str">
        <x:v>GBP</x:v>
      </x:c>
      <x:c r="E19" s="28" t="n">
        <x:f>E17+E18</x:f>
        <x:v>788000</x:v>
      </x:c>
      <x:c r="F19" s="28" t="n">
        <x:f>F17+F18</x:f>
        <x:v>970000</x:v>
      </x:c>
      <x:c r="G19" s="28" t="n">
        <x:f>G17+G18</x:f>
        <x:v>1152000</x:v>
      </x:c>
      <x:c r="H19" s="28" t="n">
        <x:f>H17+H18</x:f>
        <x:v>1334000</x:v>
      </x:c>
      <x:c r="I19" s="28" t="n">
        <x:f>I17+I18</x:f>
        <x:v>1516000</x:v>
      </x:c>
      <x:c r="J19" s="2"/>
    </x:row>
    <x:row r="20" ht="20" customHeight="1">
      <x:c r="A20" s="2"/>
      <x:c r="B20" s="2"/>
      <x:c r="C20" s="2"/>
      <x:c r="D20" s="2"/>
      <x:c r="E20" s="7"/>
      <x:c r="F20" s="7"/>
      <x:c r="G20" s="7"/>
      <x:c r="H20" s="7"/>
      <x:c r="I20" s="7"/>
      <x:c r="J20" s="2"/>
    </x:row>
    <x:row r="21" ht="20" customHeight="1">
      <x:c r="A21" s="2"/>
      <x:c r="B21" s="2"/>
      <x:c r="C21" s="2" t="str">
        <x:v>Loaded payroll</x:v>
      </x:c>
      <x:c r="D21" s="2" t="str">
        <x:v>GBP</x:v>
      </x:c>
      <x:c r="E21" s="33" t="n">
        <x:f>E13*'Assumptions'!$E$34*(1+'Assumptions'!$E$25)^0</x:f>
        <x:v>360000</x:v>
      </x:c>
      <x:c r="F21" s="33" t="n">
        <x:f>F13*'Assumptions'!$E$34*(1+'Assumptions'!$E$25)^1</x:f>
        <x:v>463500</x:v>
      </x:c>
      <x:c r="G21" s="33" t="n">
        <x:f>G13*'Assumptions'!$E$34*(1+'Assumptions'!$E$25)^2</x:f>
        <x:v>572886</x:v>
      </x:c>
      <x:c r="H21" s="33" t="n">
        <x:f>H13*'Assumptions'!$E$34*(1+'Assumptions'!$E$25)^3</x:f>
        <x:v>688418.01</x:v>
      </x:c>
      <x:c r="I21" s="33" t="n">
        <x:f>I13*'Assumptions'!$E$34*(1+'Assumptions'!$E$25)^4</x:f>
        <x:v>810366.3432000001</x:v>
      </x:c>
      <x:c r="J21" s="2"/>
    </x:row>
    <x:row r="22" ht="20" customHeight="1">
      <x:c r="A22" s="2"/>
      <x:c r="B22" s="2"/>
      <x:c r="C22" s="2" t="str">
        <x:v>Fixed administration</x:v>
      </x:c>
      <x:c r="D22" s="2" t="str">
        <x:v>GBP</x:v>
      </x:c>
      <x:c r="E22" s="33" t="n">
        <x:f>'Assumptions'!$E$35*(1+'Assumptions'!$E$25)^0</x:f>
        <x:v>70000</x:v>
      </x:c>
      <x:c r="F22" s="33" t="n">
        <x:f>'Assumptions'!$E$35*(1+'Assumptions'!$E$25)^1</x:f>
        <x:v>72100</x:v>
      </x:c>
      <x:c r="G22" s="33" t="n">
        <x:f>'Assumptions'!$E$35*(1+'Assumptions'!$E$25)^2</x:f>
        <x:v>74263</x:v>
      </x:c>
      <x:c r="H22" s="33" t="n">
        <x:f>'Assumptions'!$E$35*(1+'Assumptions'!$E$25)^3</x:f>
        <x:v>76490.89</x:v>
      </x:c>
      <x:c r="I22" s="33" t="n">
        <x:f>'Assumptions'!$E$35*(1+'Assumptions'!$E$25)^4</x:f>
        <x:v>78785.61670000001</x:v>
      </x:c>
      <x:c r="J22" s="2"/>
    </x:row>
    <x:row r="23" ht="20" customHeight="1">
      <x:c r="A23" s="2"/>
      <x:c r="B23" s="2"/>
      <x:c r="C23" s="2" t="str">
        <x:v>Shared research programme costs</x:v>
      </x:c>
      <x:c r="D23" s="2" t="str">
        <x:v>GBP</x:v>
      </x:c>
      <x:c r="E23" s="33" t="n">
        <x:f>'Assumptions'!$E$36*(1+'Assumptions'!$E$25)^0</x:f>
        <x:v>50000</x:v>
      </x:c>
      <x:c r="F23" s="33" t="n">
        <x:f>'Assumptions'!$E$36*(1+'Assumptions'!$E$25)^1</x:f>
        <x:v>51500</x:v>
      </x:c>
      <x:c r="G23" s="33" t="n">
        <x:f>'Assumptions'!$E$36*(1+'Assumptions'!$E$25)^2</x:f>
        <x:v>53045</x:v>
      </x:c>
      <x:c r="H23" s="33" t="n">
        <x:f>'Assumptions'!$E$36*(1+'Assumptions'!$E$25)^3</x:f>
        <x:v>54636.35</x:v>
      </x:c>
      <x:c r="I23" s="33" t="n">
        <x:f>'Assumptions'!$E$36*(1+'Assumptions'!$E$25)^4</x:f>
        <x:v>56275.440500000004</x:v>
      </x:c>
      <x:c r="J23" s="2"/>
    </x:row>
    <x:row r="24" ht="20" customHeight="1">
      <x:c r="A24" s="2"/>
      <x:c r="B24" s="2"/>
      <x:c r="C24" s="2" t="str">
        <x:v>Additional external compute</x:v>
      </x:c>
      <x:c r="D24" s="2" t="str">
        <x:v>GBP</x:v>
      </x:c>
      <x:c r="E24" s="33" t="n">
        <x:f>'Assumptions'!$E$37*(1+'Assumptions'!$E$25)^0</x:f>
        <x:v>20000</x:v>
      </x:c>
      <x:c r="F24" s="33" t="n">
        <x:f>'Assumptions'!$E$37*(1+'Assumptions'!$E$25)^1</x:f>
        <x:v>20600</x:v>
      </x:c>
      <x:c r="G24" s="33" t="n">
        <x:f>'Assumptions'!$E$37*(1+'Assumptions'!$E$25)^2</x:f>
        <x:v>21218</x:v>
      </x:c>
      <x:c r="H24" s="33" t="n">
        <x:f>'Assumptions'!$E$37*(1+'Assumptions'!$E$25)^3</x:f>
        <x:v>21854.54</x:v>
      </x:c>
      <x:c r="I24" s="33" t="n">
        <x:f>'Assumptions'!$E$37*(1+'Assumptions'!$E$25)^4</x:f>
        <x:v>22510.1762</x:v>
      </x:c>
      <x:c r="J24" s="2"/>
    </x:row>
    <x:row r="25" ht="20" customHeight="1">
      <x:c r="A25" s="2"/>
      <x:c r="B25" s="2"/>
      <x:c r="C25" s="2" t="str">
        <x:v>Member service variable costs</x:v>
      </x:c>
      <x:c r="D25" s="2" t="str">
        <x:v>GBP</x:v>
      </x:c>
      <x:c r="E25" s="33" t="n">
        <x:f>E10*'Assumptions'!$E$38</x:f>
        <x:v>24000</x:v>
      </x:c>
      <x:c r="F25" s="33" t="n">
        <x:f>F10*'Assumptions'!$E$38</x:f>
        <x:v>36000</x:v>
      </x:c>
      <x:c r="G25" s="33" t="n">
        <x:f>G10*'Assumptions'!$E$38</x:f>
        <x:v>48000</x:v>
      </x:c>
      <x:c r="H25" s="33" t="n">
        <x:f>H10*'Assumptions'!$E$38</x:f>
        <x:v>60000</x:v>
      </x:c>
      <x:c r="I25" s="33" t="n">
        <x:f>I10*'Assumptions'!$E$38</x:f>
        <x:v>72000</x:v>
      </x:c>
      <x:c r="J25" s="2"/>
    </x:row>
    <x:row r="26" ht="20" customHeight="1">
      <x:c r="A26" s="2"/>
      <x:c r="B26" s="2"/>
      <x:c r="C26" s="2" t="str">
        <x:v>Project variable external costs</x:v>
      </x:c>
      <x:c r="D26" s="2" t="str">
        <x:v>GBP</x:v>
      </x:c>
      <x:c r="E26" s="33" t="n">
        <x:f>E15*'Assumptions'!$E$39</x:f>
        <x:v>27000</x:v>
      </x:c>
      <x:c r="F26" s="33" t="n">
        <x:f>F15*'Assumptions'!$E$39</x:f>
        <x:v>36000</x:v>
      </x:c>
      <x:c r="G26" s="33" t="n">
        <x:f>G15*'Assumptions'!$E$39</x:f>
        <x:v>45000</x:v>
      </x:c>
      <x:c r="H26" s="33" t="n">
        <x:f>H15*'Assumptions'!$E$39</x:f>
        <x:v>54000</x:v>
      </x:c>
      <x:c r="I26" s="33" t="n">
        <x:f>I15*'Assumptions'!$E$39</x:f>
        <x:v>63000</x:v>
      </x:c>
      <x:c r="J26" s="2"/>
    </x:row>
    <x:row r="27" ht="20" customHeight="1">
      <x:c r="A27" s="2"/>
      <x:c r="B27" s="2"/>
      <x:c r="C27" s="2" t="str">
        <x:v>Service variable external costs</x:v>
      </x:c>
      <x:c r="D27" s="2" t="str">
        <x:v>GBP</x:v>
      </x:c>
      <x:c r="E27" s="33" t="n">
        <x:f>E16*'Assumptions'!$E$40</x:f>
        <x:v>16200</x:v>
      </x:c>
      <x:c r="F27" s="33" t="n">
        <x:f>F16*'Assumptions'!$E$40</x:f>
        <x:v>27000</x:v>
      </x:c>
      <x:c r="G27" s="33" t="n">
        <x:f>G16*'Assumptions'!$E$40</x:f>
        <x:v>37800</x:v>
      </x:c>
      <x:c r="H27" s="33" t="n">
        <x:f>H16*'Assumptions'!$E$40</x:f>
        <x:v>48600</x:v>
      </x:c>
      <x:c r="I27" s="33" t="n">
        <x:f>I16*'Assumptions'!$E$40</x:f>
        <x:v>59400</x:v>
      </x:c>
      <x:c r="J27" s="2"/>
    </x:row>
    <x:row r="28" ht="20" customHeight="1">
      <x:c r="A28" s="2"/>
      <x:c r="B28" s="2"/>
      <x:c r="C28" s="27" t="str">
        <x:v>Total operating costs</x:v>
      </x:c>
      <x:c r="D28" s="27" t="str">
        <x:v>GBP</x:v>
      </x:c>
      <x:c r="E28" s="28" t="n">
        <x:f>SUM(E21:E27)</x:f>
        <x:v>567200</x:v>
      </x:c>
      <x:c r="F28" s="28" t="n">
        <x:f>SUM(F21:F27)</x:f>
        <x:v>706700</x:v>
      </x:c>
      <x:c r="G28" s="28" t="n">
        <x:f>SUM(G21:G27)</x:f>
        <x:v>852212</x:v>
      </x:c>
      <x:c r="H28" s="28" t="n">
        <x:f>SUM(H21:H27)</x:f>
        <x:v>1003999.79</x:v>
      </x:c>
      <x:c r="I28" s="28" t="n">
        <x:f>SUM(I21:I27)</x:f>
        <x:v>1162337.5766000003</x:v>
      </x:c>
      <x:c r="J28" s="2"/>
    </x:row>
    <x:row r="29" ht="20" customHeight="1">
      <x:c r="A29" s="2"/>
      <x:c r="B29" s="2"/>
      <x:c r="C29" s="27" t="str">
        <x:v>Operating surplus before entity taxes</x:v>
      </x:c>
      <x:c r="D29" s="27" t="str">
        <x:v>GBP</x:v>
      </x:c>
      <x:c r="E29" s="28" t="n">
        <x:f>E19-E28</x:f>
        <x:v>220800</x:v>
      </x:c>
      <x:c r="F29" s="28" t="n">
        <x:f>F19-F28</x:f>
        <x:v>263300</x:v>
      </x:c>
      <x:c r="G29" s="28" t="n">
        <x:f>G19-G28</x:f>
        <x:v>299788</x:v>
      </x:c>
      <x:c r="H29" s="28" t="n">
        <x:f>H19-H28</x:f>
        <x:v>330000.20999999996</x:v>
      </x:c>
      <x:c r="I29" s="28" t="n">
        <x:f>I19-I28</x:f>
        <x:v>353662.42339999974</x:v>
      </x:c>
      <x:c r="J29" s="2"/>
    </x:row>
    <x:row r="30" ht="20" customHeight="1">
      <x:c r="A30" s="2"/>
      <x:c r="B30" s="2"/>
      <x:c r="C30" s="2"/>
      <x:c r="D30" s="2"/>
      <x:c r="E30" s="7"/>
      <x:c r="F30" s="7"/>
      <x:c r="G30" s="7"/>
      <x:c r="H30" s="7"/>
      <x:c r="I30" s="7"/>
      <x:c r="J30" s="2"/>
    </x:row>
    <x:row r="31" ht="20" customHeight="1">
      <x:c r="A31" s="2"/>
      <x:c r="B31" s="2"/>
      <x:c r="C31" s="2" t="str">
        <x:v>Earned income / operating costs</x:v>
      </x:c>
      <x:c r="D31" s="2" t="str">
        <x:v>%</x:v>
      </x:c>
      <x:c r="E31" s="37" t="n">
        <x:f>E17/E28</x:f>
        <x:v>0.8603667136812412</x:v>
      </x:c>
      <x:c r="F31" s="37" t="n">
        <x:f>F17/F28</x:f>
        <x:v>1.0188198669874062</x:v>
      </x:c>
      <x:c r="G31" s="37" t="n">
        <x:f>G17/G28</x:f>
        <x:v>1.1170929299282337</x:v>
      </x:c>
      <x:c r="H31" s="37" t="n">
        <x:f>H17/H28</x:f>
        <x:v>1.1792831151886993</x:v>
      </x:c>
      <x:c r="I31" s="37" t="n">
        <x:f>I17/I28</x:f>
        <x:v>1.2182347267323128</x:v>
      </x:c>
      <x:c r="J31" s="2"/>
    </x:row>
    <x:row r="32" ht="20" customHeight="1">
      <x:c r="A32" s="2"/>
      <x:c r="B32" s="2"/>
      <x:c r="C32" s="2"/>
      <x:c r="D32" s="2"/>
      <x:c r="E32" s="7"/>
      <x:c r="F32" s="7"/>
      <x:c r="G32" s="7"/>
      <x:c r="H32" s="7"/>
      <x:c r="I32" s="7"/>
      <x:c r="J32" s="2"/>
    </x:row>
    <x:row r="33" ht="20" customHeight="1">
      <x:c r="A33" s="2"/>
      <x:c r="B33" s="2"/>
      <x:c r="C33" s="2" t="str">
        <x:v>Opening working capital cash</x:v>
      </x:c>
      <x:c r="D33" s="2" t="str">
        <x:v>GBP</x:v>
      </x:c>
      <x:c r="E33" s="33" t="n">
        <x:f>'Assumptions'!$E$42</x:f>
        <x:v>200000</x:v>
      </x:c>
      <x:c r="F33" s="7" t="n">
        <x:f>E37</x:f>
        <x:v>340580.8219178082</x:v>
      </x:c>
      <x:c r="G33" s="7" t="n">
        <x:f>F37</x:f>
        <x:v>565743.8356164383</x:v>
      </x:c>
      <x:c r="H33" s="7" t="n">
        <x:f>G37</x:f>
        <x:v>827394.8493150685</x:v>
      </x:c>
      <x:c r="I33" s="7" t="n">
        <x:f>H37</x:f>
        <x:v>1119258.0730136987</x:v>
      </x:c>
      <x:c r="J33" s="2"/>
    </x:row>
    <x:row r="34" ht="20" customHeight="1">
      <x:c r="A34" s="2"/>
      <x:c r="B34" s="2"/>
      <x:c r="C34" s="2" t="str">
        <x:v>Opening receivables</x:v>
      </x:c>
      <x:c r="D34" s="2" t="str">
        <x:v>GBP</x:v>
      </x:c>
      <x:c r="E34" s="7" t="n">
        <x:f>0</x:f>
        <x:v>0</x:v>
      </x:c>
      <x:c r="F34" s="7" t="n">
        <x:f>E35</x:f>
        <x:v>80219.17808219178</x:v>
      </x:c>
      <x:c r="G34" s="7" t="n">
        <x:f>F35</x:f>
        <x:v>118356.16438356164</x:v>
      </x:c>
      <x:c r="H34" s="7" t="n">
        <x:f>G35</x:f>
        <x:v>156493.15068493152</x:v>
      </x:c>
      <x:c r="I34" s="7" t="n">
        <x:f>H35</x:f>
        <x:v>194630.13698630137</x:v>
      </x:c>
      <x:c r="J34" s="2"/>
    </x:row>
    <x:row r="35" ht="20" customHeight="1">
      <x:c r="A35" s="2"/>
      <x:c r="B35" s="2"/>
      <x:c r="C35" s="2" t="str">
        <x:v>Closing receivables</x:v>
      </x:c>
      <x:c r="D35" s="2" t="str">
        <x:v>GBP</x:v>
      </x:c>
      <x:c r="E35" s="33" t="n">
        <x:f>E17*'Assumptions'!$E$41/365</x:f>
        <x:v>80219.17808219178</x:v>
      </x:c>
      <x:c r="F35" s="33" t="n">
        <x:f>F17*'Assumptions'!$E$41/365</x:f>
        <x:v>118356.16438356164</x:v>
      </x:c>
      <x:c r="G35" s="33" t="n">
        <x:f>G17*'Assumptions'!$E$41/365</x:f>
        <x:v>156493.15068493152</x:v>
      </x:c>
      <x:c r="H35" s="33" t="n">
        <x:f>H17*'Assumptions'!$E$41/365</x:f>
        <x:v>194630.13698630137</x:v>
      </x:c>
      <x:c r="I35" s="33" t="n">
        <x:f>I17*'Assumptions'!$E$41/365</x:f>
        <x:v>232767.12328767125</x:v>
      </x:c>
      <x:c r="J35" s="2"/>
    </x:row>
    <x:row r="36" ht="20" customHeight="1">
      <x:c r="A36" s="2"/>
      <x:c r="B36" s="2"/>
      <x:c r="C36" s="2" t="str">
        <x:v>Cash used in receivables movement</x:v>
      </x:c>
      <x:c r="D36" s="2" t="str">
        <x:v>GBP</x:v>
      </x:c>
      <x:c r="E36" s="7" t="n">
        <x:f>E35-E34</x:f>
        <x:v>80219.17808219178</x:v>
      </x:c>
      <x:c r="F36" s="7" t="n">
        <x:f>F35-F34</x:f>
        <x:v>38136.98630136986</x:v>
      </x:c>
      <x:c r="G36" s="7" t="n">
        <x:f>G35-G34</x:f>
        <x:v>38136.98630136988</x:v>
      </x:c>
      <x:c r="H36" s="7" t="n">
        <x:f>H35-H34</x:f>
        <x:v>38136.98630136985</x:v>
      </x:c>
      <x:c r="I36" s="7" t="n">
        <x:f>I35-I34</x:f>
        <x:v>38136.98630136988</x:v>
      </x:c>
      <x:c r="J36" s="2"/>
    </x:row>
    <x:row r="37" ht="20" customHeight="1">
      <x:c r="A37" s="2"/>
      <x:c r="B37" s="2"/>
      <x:c r="C37" s="27" t="str">
        <x:v>Closing cash before entity taxes</x:v>
      </x:c>
      <x:c r="D37" s="27" t="str">
        <x:v>GBP</x:v>
      </x:c>
      <x:c r="E37" s="28" t="n">
        <x:f>E33+E29-E36</x:f>
        <x:v>340580.8219178082</x:v>
      </x:c>
      <x:c r="F37" s="28" t="n">
        <x:f>F33+F29-F36</x:f>
        <x:v>565743.8356164383</x:v>
      </x:c>
      <x:c r="G37" s="28" t="n">
        <x:f>G33+G29-G36</x:f>
        <x:v>827394.8493150685</x:v>
      </x:c>
      <x:c r="H37" s="28" t="n">
        <x:f>H33+H29-H36</x:f>
        <x:v>1119258.0730136987</x:v>
      </x:c>
      <x:c r="I37" s="28" t="n">
        <x:f>I33+I29-I36</x:f>
        <x:v>1434783.5101123285</x:v>
      </x:c>
      <x:c r="J37" s="2"/>
    </x:row>
    <x:row r="38" ht="20" customHeight="1">
      <x:c r="A38" s="2"/>
      <x:c r="B38" s="2"/>
      <x:c r="C38" s="2" t="str">
        <x:v>Negative cash funding gap</x:v>
      </x:c>
      <x:c r="D38" s="2" t="str">
        <x:v>GBP</x:v>
      </x:c>
      <x:c r="E38" s="7" t="n">
        <x:f>MAX(0,-E37)</x:f>
        <x:v>0</x:v>
      </x:c>
      <x:c r="F38" s="7" t="n">
        <x:f>MAX(0,-F37)</x:f>
        <x:v>0</x:v>
      </x:c>
      <x:c r="G38" s="7" t="n">
        <x:f>MAX(0,-G37)</x:f>
        <x:v>0</x:v>
      </x:c>
      <x:c r="H38" s="7" t="n">
        <x:f>MAX(0,-H37)</x:f>
        <x:v>0</x:v>
      </x:c>
      <x:c r="I38" s="7" t="n">
        <x:f>MAX(0,-I37)</x:f>
        <x:v>0</x:v>
      </x:c>
      <x:c r="J38" s="2"/>
    </x:row>
    <x:row r="39" ht="20" customHeight="1">
      <x:c r="A39" s="2"/>
      <x:c r="B39" s="2"/>
      <x:c r="C39" s="2" t="str">
        <x:v>Cash roll forward difference</x:v>
      </x:c>
      <x:c r="D39" s="2" t="str">
        <x:v>GBP</x:v>
      </x:c>
      <x:c r="E39" s="7" t="n">
        <x:f>E33+E29-E36-E37</x:f>
        <x:v>0</x:v>
      </x:c>
      <x:c r="F39" s="7" t="n">
        <x:f>F33+F29-F36-F37</x:f>
        <x:v>0</x:v>
      </x:c>
      <x:c r="G39" s="7" t="n">
        <x:f>G33+G29-G36-G37</x:f>
        <x:v>0</x:v>
      </x:c>
      <x:c r="H39" s="7" t="n">
        <x:f>H33+H29-H36-H37</x:f>
        <x:v>0</x:v>
      </x:c>
      <x:c r="I39" s="7" t="n">
        <x:f>I33+I29-I36-I37</x:f>
        <x:v>0</x:v>
      </x:c>
      <x:c r="J39" s="2"/>
    </x:row>
    <x:row r="40" ht="20" customHeight="1">
      <x:c r="A40" s="2"/>
      <x:c r="B40" s="2"/>
      <x:c r="C40" s="2"/>
      <x:c r="D40" s="2"/>
      <x:c r="E40" s="7"/>
      <x:c r="F40" s="7"/>
      <x:c r="G40" s="7"/>
      <x:c r="H40" s="7"/>
      <x:c r="I40" s="7"/>
      <x:c r="J40" s="2"/>
    </x:row>
    <x:row r="41" ht="36" customHeight="1">
      <x:c r="A41" s="2"/>
      <x:c r="B41" s="2"/>
      <x:c r="C41" s="21" t="str">
        <x:v>Revenue counts assume delivery capacity that is not yet validated. No foundation or customer has committed these funds. Tax and VAT depend on legal form.</x:v>
      </x:c>
      <x:c r="D41" s="21"/>
      <x:c r="E41" s="22"/>
      <x:c r="F41" s="22"/>
      <x:c r="G41" s="22"/>
      <x:c r="H41" s="22"/>
      <x:c r="I41" s="22"/>
      <x:c r="J41" s="2"/>
    </x:row>
    <x:row r="42" ht="20" customHeight="1">
      <x:c r="A42" s="2"/>
      <x:c r="B42" s="2"/>
      <x:c r="C42" s="2"/>
      <x:c r="D42" s="2"/>
      <x:c r="E42" s="7"/>
      <x:c r="F42" s="7"/>
      <x:c r="G42" s="7"/>
      <x:c r="H42" s="7"/>
      <x:c r="I42" s="7"/>
      <x:c r="J42" s="2"/>
    </x:row>
    <x:row r="43" ht="20" customHeight="1">
      <x:c r="A43" s="2"/>
      <x:c r="B43" s="2"/>
      <x:c r="C43" s="2"/>
      <x:c r="D43" s="2"/>
      <x:c r="E43" s="7"/>
      <x:c r="F43" s="7"/>
      <x:c r="G43" s="7"/>
      <x:c r="H43" s="7"/>
      <x:c r="I43" s="7"/>
      <x:c r="J43" s="2"/>
    </x:row>
  </x:sheetData>
  <x:mergeCells>
    <x:mergeCell ref="C2:I2"/>
    <x:mergeCell ref="C3:I4"/>
    <x:mergeCell ref="C8:I8"/>
    <x:mergeCell ref="C41:I41"/>
  </x:mergeCells>
  <x:conditionalFormatting sqref="E8:I95">
    <x:cfRule type="cellIs" dxfId="3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8354A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49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.200000047683716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2"/>
      <x:c r="B2" s="2"/>
      <x:c r="C2" s="3" t="str">
        <x:v>Founding programme budget</x:v>
      </x:c>
      <x:c r="D2" s="3"/>
      <x:c r="E2" s="3"/>
      <x:c r="F2" s="3"/>
      <x:c r="G2" s="3"/>
      <x:c r="H2" s="3"/>
      <x:c r="I2" s="3"/>
      <x:c r="J2" s="2"/>
    </x:row>
    <x:row r="3" ht="20" customHeight="1">
      <x:c r="A3" s="2"/>
      <x:c r="B3" s="2"/>
      <x:c r="C3" s="5" t="str">
        <x:v>Proposed November 2026 to July 2027 design phase. Separate from the five operating years and from asset investment.</x:v>
      </x:c>
      <x:c r="D3" s="5"/>
      <x:c r="E3" s="5"/>
      <x:c r="F3" s="5"/>
      <x:c r="G3" s="5"/>
      <x:c r="H3" s="5"/>
      <x:c r="I3" s="5"/>
      <x:c r="J3" s="2"/>
    </x:row>
    <x:row r="4" ht="20" customHeight="1">
      <x:c r="A4" s="2"/>
      <x:c r="B4" s="2"/>
      <x:c r="C4" s="5"/>
      <x:c r="D4" s="5"/>
      <x:c r="E4" s="5"/>
      <x:c r="F4" s="5"/>
      <x:c r="G4" s="5"/>
      <x:c r="H4" s="5"/>
      <x:c r="I4" s="5"/>
      <x:c r="J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0" customHeight="1">
      <x:c r="A6" s="2"/>
      <x:c r="B6" s="2"/>
      <x:c r="C6" s="2" t="str">
        <x:v>Selected scenario</x:v>
      </x:c>
      <x:c r="D6" s="2"/>
      <x:c r="E6" s="6" t="str">
        <x:f>'Assumptions'!F6</x:f>
        <x:v>Base</x:v>
      </x:c>
      <x:c r="F6" s="2"/>
      <x:c r="G6" s="2"/>
      <x:c r="H6" s="2"/>
      <x:c r="I6" s="2"/>
      <x:c r="J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24" customHeight="1">
      <x:c r="A8" s="2"/>
      <x:c r="B8" s="2"/>
      <x:c r="C8" s="12" t="str">
        <x:v>Nine month design and demonstration phase</x:v>
      </x:c>
      <x:c r="D8" s="12"/>
      <x:c r="E8" s="13"/>
      <x:c r="F8" s="13"/>
      <x:c r="G8" s="13"/>
      <x:c r="H8" s="13"/>
      <x:c r="I8" s="13"/>
      <x:c r="J8" s="2"/>
    </x:row>
    <x:row r="9" ht="20" customHeight="1">
      <x:c r="A9" s="2"/>
      <x:c r="B9" s="2"/>
      <x:c r="C9" s="2" t="str">
        <x:v>Role</x:v>
      </x:c>
      <x:c r="D9" s="2" t="str">
        <x:v>FTE</x:v>
      </x:c>
      <x:c r="E9" s="7" t="str">
        <x:v>Annual GBP</x:v>
      </x:c>
      <x:c r="F9" s="7" t="str">
        <x:v>9 month GBP</x:v>
      </x:c>
      <x:c r="G9" s="7"/>
      <x:c r="H9" s="7"/>
      <x:c r="I9" s="7"/>
      <x:c r="J9" s="2"/>
    </x:row>
    <x:row r="10" ht="20" customHeight="1">
      <x:c r="A10" s="2"/>
      <x:c r="B10" s="2"/>
      <x:c r="C10" s="2" t="str">
        <x:v>Founding lead</x:v>
      </x:c>
      <x:c r="D10" s="32" t="n">
        <x:v>0.8</x:v>
      </x:c>
      <x:c r="E10" s="14" t="n">
        <x:v>90000</x:v>
      </x:c>
      <x:c r="F10" s="7" t="n">
        <x:f>D10*E10*$I$10/12</x:f>
        <x:v>54000</x:v>
      </x:c>
      <x:c r="G10" s="7"/>
      <x:c r="H10" s="7" t="str">
        <x:v>Months</x:v>
      </x:c>
      <x:c r="I10" s="14" t="n">
        <x:v>9</x:v>
      </x:c>
      <x:c r="J10" s="2"/>
    </x:row>
    <x:row r="11" ht="20" customHeight="1">
      <x:c r="A11" s="2"/>
      <x:c r="B11" s="2"/>
      <x:c r="C11" s="2" t="str">
        <x:v>Engineering lead</x:v>
      </x:c>
      <x:c r="D11" s="32" t="n">
        <x:v>1</x:v>
      </x:c>
      <x:c r="E11" s="14" t="n">
        <x:v>96000</x:v>
      </x:c>
      <x:c r="F11" s="7" t="n">
        <x:f>D11*E11*$I$10/12</x:f>
        <x:v>72000</x:v>
      </x:c>
      <x:c r="G11" s="7"/>
      <x:c r="H11" s="7"/>
      <x:c r="I11" s="7"/>
      <x:c r="J11" s="2"/>
    </x:row>
    <x:row r="12" ht="20" customHeight="1">
      <x:c r="A12" s="2"/>
      <x:c r="B12" s="2"/>
      <x:c r="C12" s="2" t="str">
        <x:v>Research and governance lead</x:v>
      </x:c>
      <x:c r="D12" s="32" t="n">
        <x:v>0.8</x:v>
      </x:c>
      <x:c r="E12" s="14" t="n">
        <x:v>80000</x:v>
      </x:c>
      <x:c r="F12" s="7" t="n">
        <x:f>D12*E12*$I$10/12</x:f>
        <x:v>48000</x:v>
      </x:c>
      <x:c r="G12" s="7"/>
      <x:c r="H12" s="7"/>
      <x:c r="I12" s="7"/>
      <x:c r="J12" s="2"/>
    </x:row>
    <x:row r="13" ht="20" customHeight="1">
      <x:c r="A13" s="2"/>
      <x:c r="B13" s="2"/>
      <x:c r="C13" s="2" t="str">
        <x:v>Operations and community</x:v>
      </x:c>
      <x:c r="D13" s="32" t="n">
        <x:v>0.6</x:v>
      </x:c>
      <x:c r="E13" s="14" t="n">
        <x:v>80000</x:v>
      </x:c>
      <x:c r="F13" s="7" t="n">
        <x:f>D13*E13*$I$10/12</x:f>
        <x:v>36000</x:v>
      </x:c>
      <x:c r="G13" s="7"/>
      <x:c r="H13" s="7"/>
      <x:c r="I13" s="7"/>
      <x:c r="J13" s="2"/>
    </x:row>
    <x:row r="14" ht="20" customHeight="1">
      <x:c r="A14" s="2"/>
      <x:c r="B14" s="2"/>
      <x:c r="C14" s="27" t="str">
        <x:v>Loaded team cost</x:v>
      </x:c>
      <x:c r="D14" s="27" t="str">
        <x:v>GBP</x:v>
      </x:c>
      <x:c r="E14" s="28"/>
      <x:c r="F14" s="28" t="n">
        <x:f>SUM(F10:F13)</x:f>
        <x:v>210000</x:v>
      </x:c>
      <x:c r="G14" s="28"/>
      <x:c r="H14" s="28"/>
      <x:c r="I14" s="28"/>
      <x:c r="J14" s="2"/>
    </x:row>
    <x:row r="15" ht="20" customHeight="1">
      <x:c r="A15" s="2"/>
      <x:c r="B15" s="2"/>
      <x:c r="C15" s="2"/>
      <x:c r="D15" s="2"/>
      <x:c r="E15" s="7"/>
      <x:c r="F15" s="7"/>
      <x:c r="G15" s="7"/>
      <x:c r="H15" s="7"/>
      <x:c r="I15" s="7"/>
      <x:c r="J15" s="2"/>
    </x:row>
    <x:row r="16" ht="20" customHeight="1">
      <x:c r="A16" s="2"/>
      <x:c r="B16" s="2"/>
      <x:c r="C16" s="2" t="str">
        <x:v>Legal and structural advice</x:v>
      </x:c>
      <x:c r="D16" s="2" t="str">
        <x:v>GBP</x:v>
      </x:c>
      <x:c r="E16" s="7"/>
      <x:c r="F16" s="14" t="n">
        <x:v>60000</x:v>
      </x:c>
      <x:c r="G16" s="7"/>
      <x:c r="H16" s="7"/>
      <x:c r="I16" s="7"/>
      <x:c r="J16" s="2"/>
    </x:row>
    <x:row r="17" ht="20" customHeight="1">
      <x:c r="A17" s="2"/>
      <x:c r="B17" s="2"/>
      <x:c r="C17" s="2" t="str">
        <x:v>Independent security evaluation</x:v>
      </x:c>
      <x:c r="D17" s="2" t="str">
        <x:v>GBP</x:v>
      </x:c>
      <x:c r="E17" s="7"/>
      <x:c r="F17" s="14" t="n">
        <x:v>35000</x:v>
      </x:c>
      <x:c r="G17" s="7"/>
      <x:c r="H17" s="7"/>
      <x:c r="I17" s="7"/>
      <x:c r="J17" s="2"/>
    </x:row>
    <x:row r="18" ht="20" customHeight="1">
      <x:c r="A18" s="2"/>
      <x:c r="B18" s="2"/>
      <x:c r="C18" s="2" t="str">
        <x:v>Managed compute and node testing</x:v>
      </x:c>
      <x:c r="D18" s="2" t="str">
        <x:v>GBP</x:v>
      </x:c>
      <x:c r="E18" s="7"/>
      <x:c r="F18" s="14" t="n">
        <x:v>30000</x:v>
      </x:c>
      <x:c r="G18" s="7"/>
      <x:c r="H18" s="7"/>
      <x:c r="I18" s="7"/>
      <x:c r="J18" s="2"/>
    </x:row>
    <x:row r="19" ht="20" customHeight="1">
      <x:c r="A19" s="2"/>
      <x:c r="B19" s="2"/>
      <x:c r="C19" s="2" t="str">
        <x:v>Local participation and training</x:v>
      </x:c>
      <x:c r="D19" s="2" t="str">
        <x:v>GBP</x:v>
      </x:c>
      <x:c r="E19" s="7"/>
      <x:c r="F19" s="14" t="n">
        <x:v>20000</x:v>
      </x:c>
      <x:c r="G19" s="7"/>
      <x:c r="H19" s="7"/>
      <x:c r="I19" s="7"/>
      <x:c r="J19" s="2"/>
    </x:row>
    <x:row r="20" ht="20" customHeight="1">
      <x:c r="A20" s="2"/>
      <x:c r="B20" s="2"/>
      <x:c r="C20" s="2" t="str">
        <x:v>Events and travel</x:v>
      </x:c>
      <x:c r="D20" s="2" t="str">
        <x:v>GBP</x:v>
      </x:c>
      <x:c r="E20" s="7"/>
      <x:c r="F20" s="14" t="n">
        <x:v>20000</x:v>
      </x:c>
      <x:c r="G20" s="7"/>
      <x:c r="H20" s="7"/>
      <x:c r="I20" s="7"/>
      <x:c r="J20" s="2"/>
    </x:row>
    <x:row r="21" ht="20" customHeight="1">
      <x:c r="A21" s="2"/>
      <x:c r="B21" s="2"/>
      <x:c r="C21" s="2" t="str">
        <x:v>Operations and administration</x:v>
      </x:c>
      <x:c r="D21" s="2" t="str">
        <x:v>GBP</x:v>
      </x:c>
      <x:c r="E21" s="7"/>
      <x:c r="F21" s="14" t="n">
        <x:v>10000</x:v>
      </x:c>
      <x:c r="G21" s="7"/>
      <x:c r="H21" s="7"/>
      <x:c r="I21" s="7"/>
      <x:c r="J21" s="2"/>
    </x:row>
    <x:row r="22" ht="20" customHeight="1">
      <x:c r="A22" s="2"/>
      <x:c r="B22" s="2"/>
      <x:c r="C22" s="2" t="str">
        <x:v>Contingency</x:v>
      </x:c>
      <x:c r="D22" s="2" t="str">
        <x:v>GBP</x:v>
      </x:c>
      <x:c r="E22" s="7"/>
      <x:c r="F22" s="14" t="n">
        <x:v>35000</x:v>
      </x:c>
      <x:c r="G22" s="7"/>
      <x:c r="H22" s="7"/>
      <x:c r="I22" s="7"/>
      <x:c r="J22" s="2"/>
    </x:row>
    <x:row r="23" ht="20" customHeight="1">
      <x:c r="A23" s="2"/>
      <x:c r="B23" s="2"/>
      <x:c r="C23" s="2"/>
      <x:c r="D23" s="2"/>
      <x:c r="E23" s="7"/>
      <x:c r="F23" s="7"/>
      <x:c r="G23" s="7"/>
      <x:c r="H23" s="7"/>
      <x:c r="I23" s="7"/>
      <x:c r="J23" s="2"/>
    </x:row>
    <x:row r="24" ht="20" customHeight="1">
      <x:c r="A24" s="2"/>
      <x:c r="B24" s="2"/>
      <x:c r="C24" s="27" t="str">
        <x:v>Total proposed founding programme</x:v>
      </x:c>
      <x:c r="D24" s="27" t="str">
        <x:v>GBP</x:v>
      </x:c>
      <x:c r="E24" s="28"/>
      <x:c r="F24" s="28" t="n">
        <x:f>SUM(F14,F16:F22)</x:f>
        <x:v>420000</x:v>
      </x:c>
      <x:c r="G24" s="28"/>
      <x:c r="H24" s="28"/>
      <x:c r="I24" s="28"/>
      <x:c r="J24" s="2"/>
    </x:row>
    <x:row r="25" ht="20" customHeight="1">
      <x:c r="A25" s="2"/>
      <x:c r="B25" s="2"/>
      <x:c r="C25" s="2"/>
      <x:c r="D25" s="2"/>
      <x:c r="E25" s="7"/>
      <x:c r="F25" s="7"/>
      <x:c r="G25" s="7"/>
      <x:c r="H25" s="7"/>
      <x:c r="I25" s="7"/>
      <x:c r="J25" s="2"/>
    </x:row>
    <x:row r="26" ht="20" customHeight="1">
      <x:c r="A26" s="2"/>
      <x:c r="B26" s="2"/>
      <x:c r="C26" s="2" t="str">
        <x:v>First proposed tranche</x:v>
      </x:c>
      <x:c r="D26" s="2" t="str">
        <x:v>GBP</x:v>
      </x:c>
      <x:c r="E26" s="7"/>
      <x:c r="F26" s="14" t="n">
        <x:v>120000</x:v>
      </x:c>
      <x:c r="G26" s="7"/>
      <x:c r="H26" s="7"/>
      <x:c r="I26" s="7"/>
      <x:c r="J26" s="2"/>
    </x:row>
    <x:row r="27" ht="20" customHeight="1">
      <x:c r="A27" s="2"/>
      <x:c r="B27" s="2"/>
      <x:c r="C27" s="2" t="str">
        <x:v>Second proposed tranche</x:v>
      </x:c>
      <x:c r="D27" s="2" t="str">
        <x:v>GBP</x:v>
      </x:c>
      <x:c r="E27" s="7"/>
      <x:c r="F27" s="14" t="n">
        <x:v>180000</x:v>
      </x:c>
      <x:c r="G27" s="7"/>
      <x:c r="H27" s="7"/>
      <x:c r="I27" s="7"/>
      <x:c r="J27" s="2"/>
    </x:row>
    <x:row r="28" ht="20" customHeight="1">
      <x:c r="A28" s="2"/>
      <x:c r="B28" s="2"/>
      <x:c r="C28" s="2" t="str">
        <x:v>Final proposed tranche</x:v>
      </x:c>
      <x:c r="D28" s="2" t="str">
        <x:v>GBP</x:v>
      </x:c>
      <x:c r="E28" s="7"/>
      <x:c r="F28" s="14" t="n">
        <x:v>120000</x:v>
      </x:c>
      <x:c r="G28" s="7"/>
      <x:c r="H28" s="7"/>
      <x:c r="I28" s="7"/>
      <x:c r="J28" s="2"/>
    </x:row>
    <x:row r="29" ht="20" customHeight="1">
      <x:c r="A29" s="2"/>
      <x:c r="B29" s="2"/>
      <x:c r="C29" s="2" t="str">
        <x:v>Tranche balance check</x:v>
      </x:c>
      <x:c r="D29" s="2" t="str">
        <x:v>GBP</x:v>
      </x:c>
      <x:c r="E29" s="7"/>
      <x:c r="F29" s="7" t="n">
        <x:f>SUM(F26:F28)-F24</x:f>
        <x:v>0</x:v>
      </x:c>
      <x:c r="G29" s="7"/>
      <x:c r="H29" s="7"/>
      <x:c r="I29" s="7"/>
      <x:c r="J29" s="2"/>
    </x:row>
    <x:row r="30" ht="20" customHeight="1">
      <x:c r="A30" s="2"/>
      <x:c r="B30" s="2"/>
      <x:c r="C30" s="2"/>
      <x:c r="D30" s="2"/>
      <x:c r="E30" s="7"/>
      <x:c r="F30" s="7"/>
      <x:c r="G30" s="7"/>
      <x:c r="H30" s="7"/>
      <x:c r="I30" s="7"/>
      <x:c r="J30" s="2"/>
    </x:row>
    <x:row r="31" ht="36" customHeight="1">
      <x:c r="A31" s="2"/>
      <x:c r="B31" s="2"/>
      <x:c r="C31" s="21" t="str">
        <x:v>This budget does not include the £200,000 opening institute working capital, operating-year grants or separate asset capital. Avoid counting any commitment twice.</x:v>
      </x:c>
      <x:c r="D31" s="21"/>
      <x:c r="E31" s="22"/>
      <x:c r="F31" s="22"/>
      <x:c r="G31" s="22"/>
      <x:c r="H31" s="22"/>
      <x:c r="I31" s="22"/>
      <x:c r="J31" s="2"/>
    </x:row>
    <x:row r="32" ht="20" customHeight="1">
      <x:c r="A32" s="2"/>
      <x:c r="B32" s="2"/>
      <x:c r="C32" s="2"/>
      <x:c r="D32" s="2"/>
      <x:c r="E32" s="7"/>
      <x:c r="F32" s="7"/>
      <x:c r="G32" s="7"/>
      <x:c r="H32" s="7"/>
      <x:c r="I32" s="7"/>
      <x:c r="J32" s="2"/>
    </x:row>
    <x:row r="33" ht="36" customHeight="1">
      <x:c r="A33" s="2"/>
      <x:c r="B33" s="2"/>
      <x:c r="C33" s="21" t="str">
        <x:v>Historical $42,000 Hitchhiker legal-instantiation proposal is a separate prior initiative. The £420,000 here is new, uncommitted and subject to cost validation.</x:v>
      </x:c>
      <x:c r="D33" s="21"/>
      <x:c r="E33" s="22"/>
      <x:c r="F33" s="22"/>
      <x:c r="G33" s="22"/>
      <x:c r="H33" s="22"/>
      <x:c r="I33" s="22"/>
      <x:c r="J33" s="2"/>
    </x:row>
    <x:row r="34" ht="20" customHeight="1">
      <x:c r="A34" s="2"/>
      <x:c r="B34" s="2"/>
      <x:c r="C34" s="2"/>
      <x:c r="D34" s="2"/>
      <x:c r="E34" s="7"/>
      <x:c r="F34" s="7"/>
      <x:c r="G34" s="7"/>
      <x:c r="H34" s="7"/>
      <x:c r="I34" s="7"/>
      <x:c r="J34" s="2"/>
    </x:row>
    <x:row r="35" ht="20" customHeight="1">
      <x:c r="A35" s="2"/>
      <x:c r="B35" s="2"/>
      <x:c r="C35" s="2"/>
      <x:c r="D35" s="2"/>
      <x:c r="E35" s="7"/>
      <x:c r="F35" s="7"/>
      <x:c r="G35" s="7"/>
      <x:c r="H35" s="7"/>
      <x:c r="I35" s="7"/>
      <x:c r="J35" s="2"/>
    </x:row>
    <x:row r="36" ht="20" customHeight="1">
      <x:c r="A36" s="2"/>
      <x:c r="B36" s="2"/>
      <x:c r="C36" s="2"/>
      <x:c r="D36" s="2"/>
      <x:c r="E36" s="7"/>
      <x:c r="F36" s="7"/>
      <x:c r="G36" s="7"/>
      <x:c r="H36" s="7"/>
      <x:c r="I36" s="7"/>
      <x:c r="J36" s="2"/>
    </x:row>
  </x:sheetData>
  <x:mergeCells>
    <x:mergeCell ref="C2:I2"/>
    <x:mergeCell ref="C3:I4"/>
    <x:mergeCell ref="C8:I8"/>
    <x:mergeCell ref="C31:I31"/>
    <x:mergeCell ref="C33:I33"/>
  </x:mergeCells>
  <x:conditionalFormatting sqref="E8:I95">
    <x:cfRule type="cellIs" dxfId="4" priority="1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8354A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.200000047683716" hidden="0" customWidth="1"/>
    <x:col min="2" max="2" width="2.200000047683716" hidden="0" customWidth="1"/>
    <x:col min="3" max="3" width="49" hidden="0" customWidth="1"/>
    <x:col min="4" max="4" width="1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.200000047683716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2"/>
      <x:c r="B2" s="2"/>
      <x:c r="C2" s="3" t="str">
        <x:v>Model checks</x:v>
      </x:c>
      <x:c r="D2" s="3"/>
      <x:c r="E2" s="3"/>
      <x:c r="F2" s="3"/>
      <x:c r="G2" s="3"/>
      <x:c r="H2" s="3"/>
      <x:c r="I2" s="3"/>
      <x:c r="J2" s="2"/>
    </x:row>
    <x:row r="3" ht="20" customHeight="1">
      <x:c r="A3" s="2"/>
      <x:c r="B3" s="2"/>
      <x:c r="C3" s="5" t="str">
        <x:v>Arithmetic checks are not commercial validation. Warnings remain visible when a scenario fails an economic gate.</x:v>
      </x:c>
      <x:c r="D3" s="5"/>
      <x:c r="E3" s="5"/>
      <x:c r="F3" s="5"/>
      <x:c r="G3" s="5"/>
      <x:c r="H3" s="5"/>
      <x:c r="I3" s="5"/>
      <x:c r="J3" s="2"/>
    </x:row>
    <x:row r="4" ht="20" customHeight="1">
      <x:c r="A4" s="2"/>
      <x:c r="B4" s="2"/>
      <x:c r="C4" s="5"/>
      <x:c r="D4" s="5"/>
      <x:c r="E4" s="5"/>
      <x:c r="F4" s="5"/>
      <x:c r="G4" s="5"/>
      <x:c r="H4" s="5"/>
      <x:c r="I4" s="5"/>
      <x:c r="J4" s="2"/>
    </x:row>
    <x:row r="5" ht="2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0" customHeight="1">
      <x:c r="A6" s="2"/>
      <x:c r="B6" s="2"/>
      <x:c r="C6" s="2" t="str">
        <x:v>Selected scenario</x:v>
      </x:c>
      <x:c r="D6" s="2"/>
      <x:c r="E6" s="6" t="str">
        <x:f>'Assumptions'!F6</x:f>
        <x:v>Base</x:v>
      </x:c>
      <x:c r="F6" s="2"/>
      <x:c r="G6" s="2"/>
      <x:c r="H6" s="2"/>
      <x:c r="I6" s="2"/>
      <x:c r="J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24" customHeight="1">
      <x:c r="A8" s="2"/>
      <x:c r="B8" s="2"/>
      <x:c r="C8" s="12" t="str">
        <x:v>Arithmetic and policy checks</x:v>
      </x:c>
      <x:c r="D8" s="12"/>
      <x:c r="E8" s="13"/>
      <x:c r="F8" s="13"/>
      <x:c r="G8" s="13"/>
      <x:c r="H8" s="13"/>
      <x:c r="I8" s="13"/>
      <x:c r="J8" s="2"/>
    </x:row>
    <x:row r="9" ht="20" customHeight="1">
      <x:c r="A9" s="2"/>
      <x:c r="B9" s="2"/>
      <x:c r="C9" s="2"/>
      <x:c r="D9" s="2"/>
      <x:c r="E9" s="7"/>
      <x:c r="F9" s="7"/>
      <x:c r="G9" s="7"/>
      <x:c r="H9" s="7"/>
      <x:c r="I9" s="7"/>
      <x:c r="J9" s="2"/>
    </x:row>
    <x:row r="10" ht="20" customHeight="1">
      <x:c r="A10" s="2"/>
      <x:c r="B10" s="2"/>
      <x:c r="C10" s="2" t="str">
        <x:v>Asset cash identities</x:v>
      </x:c>
      <x:c r="D10" s="2" t="str">
        <x:v>status</x:v>
      </x:c>
      <x:c r="E10" s="33" t="str">
        <x:f>IF(MAX(ABS('Compute'!E48),ABS('Compute'!F48),ABS('Compute'!G48),ABS('Compute'!H48),ABS('Compute'!I48))&lt;0.01,"PASS","FAIL")</x:f>
        <x:v>PASS</x:v>
      </x:c>
      <x:c r="F10" s="7"/>
      <x:c r="G10" s="7"/>
      <x:c r="H10" s="7"/>
      <x:c r="I10" s="7"/>
      <x:c r="J10" s="2"/>
    </x:row>
    <x:row r="11" ht="20" customHeight="1">
      <x:c r="A11" s="2"/>
      <x:c r="B11" s="2"/>
      <x:c r="C11" s="2" t="str">
        <x:v>Institute cash identities</x:v>
      </x:c>
      <x:c r="D11" s="2" t="str">
        <x:v>status</x:v>
      </x:c>
      <x:c r="E11" s="33" t="str">
        <x:f>IF(MAX(ABS('Institute'!E39),ABS('Institute'!F39),ABS('Institute'!G39),ABS('Institute'!H39),ABS('Institute'!I39))&lt;0.01,"PASS","FAIL")</x:f>
        <x:v>PASS</x:v>
      </x:c>
      <x:c r="F11" s="7"/>
      <x:c r="G11" s="7"/>
      <x:c r="H11" s="7"/>
      <x:c r="I11" s="7"/>
      <x:c r="J11" s="2"/>
    </x:row>
    <x:row r="12" ht="20" customHeight="1">
      <x:c r="A12" s="2"/>
      <x:c r="B12" s="2"/>
      <x:c r="C12" s="2" t="str">
        <x:v>Investor cap not exceeded</x:v>
      </x:c>
      <x:c r="D12" s="2" t="str">
        <x:v>status</x:v>
      </x:c>
      <x:c r="E12" s="33" t="str">
        <x:f>IF(SUM('Compute'!E42:I42)&lt;='Compute'!E12+0.01,"PASS","FAIL")</x:f>
        <x:v>PASS</x:v>
      </x:c>
      <x:c r="F12" s="7"/>
      <x:c r="G12" s="7"/>
      <x:c r="H12" s="7"/>
      <x:c r="I12" s="7"/>
      <x:c r="J12" s="2"/>
    </x:row>
    <x:row r="13" ht="20" customHeight="1">
      <x:c r="A13" s="2"/>
      <x:c r="B13" s="2"/>
      <x:c r="C13" s="2" t="str">
        <x:v>Paid plus research hours fit capacity</x:v>
      </x:c>
      <x:c r="D13" s="2" t="str">
        <x:v>status</x:v>
      </x:c>
      <x:c r="E13" s="33" t="str">
        <x:f>IF(MIN('Compute'!E50:I50)&gt;=0,"PASS","FAIL")</x:f>
        <x:v>PASS</x:v>
      </x:c>
      <x:c r="F13" s="7"/>
      <x:c r="G13" s="7"/>
      <x:c r="H13" s="7"/>
      <x:c r="I13" s="7"/>
      <x:c r="J13" s="2"/>
    </x:row>
    <x:row r="14" ht="20" customHeight="1">
      <x:c r="A14" s="2"/>
      <x:c r="B14" s="2"/>
      <x:c r="C14" s="2" t="str">
        <x:v>Tranches equal proposed budget</x:v>
      </x:c>
      <x:c r="D14" s="2" t="str">
        <x:v>status</x:v>
      </x:c>
      <x:c r="E14" s="33" t="str">
        <x:f>IF(ABS('Founding Budget'!F29)&lt;0.01,"PASS","FAIL")</x:f>
        <x:v>PASS</x:v>
      </x:c>
      <x:c r="F14" s="7"/>
      <x:c r="G14" s="7"/>
      <x:c r="H14" s="7"/>
      <x:c r="I14" s="7"/>
      <x:c r="J14" s="2"/>
    </x:row>
    <x:row r="15" ht="20" customHeight="1">
      <x:c r="A15" s="2"/>
      <x:c r="B15" s="2"/>
      <x:c r="C15" s="2" t="str">
        <x:v>Restricted reserve roll forward</x:v>
      </x:c>
      <x:c r="D15" s="2" t="str">
        <x:v>status</x:v>
      </x:c>
      <x:c r="E15" s="33" t="str">
        <x:f>IF(ABS(SUM('Compute'!E38:I38)-'Compute'!I40)&lt;0.01,"PASS","FAIL")</x:f>
        <x:v>PASS</x:v>
      </x:c>
      <x:c r="F15" s="7"/>
      <x:c r="G15" s="7"/>
      <x:c r="H15" s="7"/>
      <x:c r="I15" s="7"/>
      <x:c r="J15" s="2"/>
    </x:row>
    <x:row r="16" ht="20" customHeight="1">
      <x:c r="A16" s="2"/>
      <x:c r="B16" s="2"/>
      <x:c r="C16" s="2" t="str">
        <x:v>Asset initial sources equal uses</x:v>
      </x:c>
      <x:c r="D16" s="2" t="str">
        <x:v>status</x:v>
      </x:c>
      <x:c r="E16" s="33" t="str">
        <x:f>IF(ABS('Compute'!E10+'Compute'!E11-'Compute'!E9-'Assumptions'!$E$12)&lt;0.01,"PASS","FAIL")</x:f>
        <x:v>PASS</x:v>
      </x:c>
      <x:c r="F16" s="7"/>
      <x:c r="G16" s="7"/>
      <x:c r="H16" s="7"/>
      <x:c r="I16" s="7"/>
      <x:c r="J16" s="2"/>
    </x:row>
    <x:row r="17" ht="20" customHeight="1">
      <x:c r="A17" s="2"/>
      <x:c r="B17" s="2"/>
      <x:c r="C17" s="2"/>
      <x:c r="D17" s="2"/>
      <x:c r="E17" s="7"/>
      <x:c r="F17" s="7"/>
      <x:c r="G17" s="7"/>
      <x:c r="H17" s="7"/>
      <x:c r="I17" s="7"/>
      <x:c r="J17" s="2"/>
    </x:row>
    <x:row r="18" ht="20" customHeight="1">
      <x:c r="A18" s="2"/>
      <x:c r="B18" s="2"/>
      <x:c r="C18" s="2"/>
      <x:c r="D18" s="2"/>
      <x:c r="E18" s="7"/>
      <x:c r="F18" s="7"/>
      <x:c r="G18" s="7"/>
      <x:c r="H18" s="7"/>
      <x:c r="I18" s="7"/>
      <x:c r="J18" s="2"/>
    </x:row>
    <x:row r="19" ht="20" customHeight="1">
      <x:c r="A19" s="2"/>
      <x:c r="B19" s="2"/>
      <x:c r="C19" s="2" t="str">
        <x:v>No negative asset cash</x:v>
      </x:c>
      <x:c r="D19" s="2" t="str">
        <x:v>status</x:v>
      </x:c>
      <x:c r="E19" s="33" t="str">
        <x:f>IF(MIN('Compute'!E46:I46)&gt;=0,"PASS","WARNING")</x:f>
        <x:v>PASS</x:v>
      </x:c>
      <x:c r="F19" s="7"/>
      <x:c r="G19" s="7"/>
      <x:c r="H19" s="7"/>
      <x:c r="I19" s="7"/>
      <x:c r="J19" s="2"/>
    </x:row>
    <x:row r="20" ht="20" customHeight="1">
      <x:c r="A20" s="2"/>
      <x:c r="B20" s="2"/>
      <x:c r="C20" s="2" t="str">
        <x:v>Liquidity floor preserved</x:v>
      </x:c>
      <x:c r="D20" s="2" t="str">
        <x:v>status</x:v>
      </x:c>
      <x:c r="E20" s="33" t="str">
        <x:f>IF(MIN('Compute'!E46:I46)&gt;='Assumptions'!$E$12-0.01,"PASS","WARNING")</x:f>
        <x:v>PASS</x:v>
      </x:c>
      <x:c r="F20" s="7"/>
      <x:c r="G20" s="7"/>
      <x:c r="H20" s="7"/>
      <x:c r="I20" s="7"/>
      <x:c r="J20" s="2"/>
    </x:row>
    <x:row r="21" ht="20" customHeight="1">
      <x:c r="A21" s="2"/>
      <x:c r="B21" s="2"/>
      <x:c r="C21" s="2" t="str">
        <x:v>Institute has no cash deficit</x:v>
      </x:c>
      <x:c r="D21" s="2" t="str">
        <x:v>status</x:v>
      </x:c>
      <x:c r="E21" s="33" t="str">
        <x:f>IF(MIN('Institute'!E37:I37)&gt;=0,"PASS","WARNING")</x:f>
        <x:v>PASS</x:v>
      </x:c>
      <x:c r="F21" s="7"/>
      <x:c r="G21" s="7"/>
      <x:c r="H21" s="7"/>
      <x:c r="I21" s="7"/>
      <x:c r="J21" s="2"/>
    </x:row>
    <x:row r="22" ht="20" customHeight="1">
      <x:c r="A22" s="2"/>
      <x:c r="B22" s="2"/>
      <x:c r="C22" s="2" t="str">
        <x:v>Investor ceiling reached within five years</x:v>
      </x:c>
      <x:c r="D22" s="2" t="str">
        <x:v>status</x:v>
      </x:c>
      <x:c r="E22" s="33" t="str">
        <x:f>IF('Compute'!I44&lt;0.01,"PASS","WARNING")</x:f>
        <x:v>WARNING</x:v>
      </x:c>
      <x:c r="F22" s="7"/>
      <x:c r="G22" s="7"/>
      <x:c r="H22" s="7"/>
      <x:c r="I22" s="7"/>
      <x:c r="J22" s="2"/>
    </x:row>
    <x:row r="23" ht="20" customHeight="1">
      <x:c r="A23" s="2"/>
      <x:c r="B23" s="2"/>
      <x:c r="C23" s="2" t="str">
        <x:v>Replacement budget fully funded</x:v>
      </x:c>
      <x:c r="D23" s="2" t="str">
        <x:v>status</x:v>
      </x:c>
      <x:c r="E23" s="33" t="str">
        <x:f>IF('Compute'!I40&gt;='Assumptions'!$E$30,"PASS","WARNING")</x:f>
        <x:v>WARNING</x:v>
      </x:c>
      <x:c r="F23" s="7"/>
      <x:c r="G23" s="7"/>
      <x:c r="H23" s="7"/>
      <x:c r="I23" s="7"/>
      <x:c r="J23" s="2"/>
    </x:row>
    <x:row r="24" ht="20" customHeight="1">
      <x:c r="A24" s="2"/>
      <x:c r="B24" s="2"/>
      <x:c r="C24" s="2"/>
      <x:c r="D24" s="2"/>
      <x:c r="E24" s="7"/>
      <x:c r="F24" s="7"/>
      <x:c r="G24" s="7"/>
      <x:c r="H24" s="7"/>
      <x:c r="I24" s="7"/>
      <x:c r="J24" s="2"/>
    </x:row>
    <x:row r="25" ht="36" customHeight="1">
      <x:c r="A25" s="2"/>
      <x:c r="B25" s="2"/>
      <x:c r="C25" s="21" t="str">
        <x:v>WARNING is a substantive unresolved risk, not a spreadsheet error. Passing identities cannot establish demand, investor suitability or legal compliance.</x:v>
      </x:c>
      <x:c r="D25" s="21"/>
      <x:c r="E25" s="22"/>
      <x:c r="F25" s="22"/>
      <x:c r="G25" s="22"/>
      <x:c r="H25" s="22"/>
      <x:c r="I25" s="22"/>
      <x:c r="J25" s="2"/>
    </x:row>
    <x:row r="26" ht="20" customHeight="1">
      <x:c r="A26" s="2"/>
      <x:c r="B26" s="2"/>
      <x:c r="C26" s="2"/>
      <x:c r="D26" s="2"/>
      <x:c r="E26" s="7"/>
      <x:c r="F26" s="7"/>
      <x:c r="G26" s="7"/>
      <x:c r="H26" s="7"/>
      <x:c r="I26" s="7"/>
      <x:c r="J26" s="2"/>
    </x:row>
    <x:row r="27" ht="36" customHeight="1">
      <x:c r="A27" s="2"/>
      <x:c r="B27" s="2"/>
      <x:c r="C27" s="21" t="str">
        <x:v>Version 0.2 compares the revised workbook with both reference models. See workbook_validation.json for scope.</x:v>
      </x:c>
      <x:c r="D27" s="21"/>
      <x:c r="E27" s="22"/>
      <x:c r="F27" s="22"/>
      <x:c r="G27" s="22"/>
      <x:c r="H27" s="22"/>
      <x:c r="I27" s="22"/>
      <x:c r="J27" s="2"/>
    </x:row>
    <x:row r="28" ht="20" customHeight="1">
      <x:c r="A28" s="2"/>
      <x:c r="B28" s="2"/>
      <x:c r="C28" s="2"/>
      <x:c r="D28" s="2"/>
      <x:c r="E28" s="7"/>
      <x:c r="F28" s="7"/>
      <x:c r="G28" s="7"/>
      <x:c r="H28" s="7"/>
      <x:c r="I28" s="7"/>
      <x:c r="J28" s="2"/>
    </x:row>
    <x:row r="29" ht="36" customHeight="1">
      <x:c r="A29" s="2"/>
      <x:c r="B29" s="2"/>
      <x:c r="C29" s="21" t="str">
        <x:v>No cash deficit is automatically financed. No investor entitlement is written off automatically at year five. Restructuring and insolvency rules remain to be designed.</x:v>
      </x:c>
      <x:c r="D29" s="21"/>
      <x:c r="E29" s="22"/>
      <x:c r="F29" s="22"/>
      <x:c r="G29" s="22"/>
      <x:c r="H29" s="22"/>
      <x:c r="I29" s="22"/>
      <x:c r="J29" s="2"/>
    </x:row>
    <x:row r="30" ht="20" customHeight="1">
      <x:c r="A30" s="2"/>
      <x:c r="B30" s="2"/>
      <x:c r="C30" s="2"/>
      <x:c r="D30" s="2"/>
      <x:c r="E30" s="7"/>
      <x:c r="F30" s="7"/>
      <x:c r="G30" s="7"/>
      <x:c r="H30" s="7"/>
      <x:c r="I30" s="7"/>
      <x:c r="J30" s="2"/>
    </x:row>
    <x:row r="31" ht="20" customHeight="1">
      <x:c r="A31" s="2"/>
      <x:c r="B31" s="2"/>
      <x:c r="C31" s="2"/>
      <x:c r="D31" s="2"/>
      <x:c r="E31" s="7"/>
      <x:c r="F31" s="7"/>
      <x:c r="G31" s="7"/>
      <x:c r="H31" s="7"/>
      <x:c r="I31" s="7"/>
      <x:c r="J31" s="2"/>
    </x:row>
    <x:row r="32" ht="23" customHeight="1">
      <x:c r="A32" s="2"/>
      <x:c r="B32" s="2"/>
      <x:c r="C32" s="2" t="str">
        <x:v>Partner cash roll forward</x:v>
      </x:c>
      <x:c r="D32" s="2" t="str">
        <x:v>status</x:v>
      </x:c>
      <x:c r="E32" s="7" t="str">
        <x:f>IF(ABS(SUM('Partner Service'!E29:I29)+'Assumptions'!E99-'Partner Service'!I31)&lt;0.01,"PASS","FAIL")</x:f>
        <x:v>PASS</x:v>
      </x:c>
      <x:c r="F32" s="7"/>
      <x:c r="G32" s="7"/>
      <x:c r="H32" s="7"/>
      <x:c r="I32" s="7"/>
      <x:c r="J32" s="2"/>
    </x:row>
    <x:row r="33" ht="23" customHeight="1">
      <x:c r="A33" s="2"/>
      <x:c r="B33" s="2"/>
      <x:c r="C33" s="2" t="str">
        <x:v>No negative partner service cash</x:v>
      </x:c>
      <x:c r="D33" s="2" t="str">
        <x:v>status</x:v>
      </x:c>
      <x:c r="E33" s="7" t="str">
        <x:f>IF('Partner Service'!E36&gt;=0,"PASS","WARNING")</x:f>
        <x:v>PASS</x:v>
      </x:c>
      <x:c r="F33" s="7"/>
      <x:c r="G33" s="7"/>
      <x:c r="H33" s="7"/>
      <x:c r="I33" s="7"/>
      <x:c r="J33" s="2"/>
    </x:row>
    <x:row r="34" ht="20" customHeight="1">
      <x:c r="A34" s="2"/>
      <x:c r="B34" s="2"/>
      <x:c r="C34" s="2"/>
      <x:c r="D34" s="2"/>
      <x:c r="E34" s="7"/>
      <x:c r="F34" s="7"/>
      <x:c r="G34" s="7"/>
      <x:c r="H34" s="7"/>
      <x:c r="I34" s="7"/>
      <x:c r="J34" s="2"/>
    </x:row>
  </x:sheetData>
  <x:mergeCells>
    <x:mergeCell ref="C2:I2"/>
    <x:mergeCell ref="C3:I4"/>
    <x:mergeCell ref="C8:I8"/>
    <x:mergeCell ref="C25:I25"/>
    <x:mergeCell ref="C27:I27"/>
    <x:mergeCell ref="C29:I29"/>
  </x:mergeCells>
  <x:conditionalFormatting sqref="E8:I95">
    <x:cfRule type="cellIs" dxfId="5" priority="1" operator="lessThan">
      <x:formula>0</x:formula>
    </x:cfRule>
  </x:conditionalFormatting>
  <x:conditionalFormatting sqref="E10:E23">
    <x:cfRule type="containsText" dxfId="6" priority="2" operator="containsText" text="WARNING"/>
    <x:cfRule type="containsText" dxfId="7" priority="3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49697A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53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3" customHeight="1">
      <x:c r="C1" s="45"/>
      <x:c r="D1" s="45"/>
      <x:c r="E1" s="45"/>
      <x:c r="F1" s="45"/>
      <x:c r="G1" s="45"/>
      <x:c r="H1" s="45"/>
      <x:c r="I1" s="45"/>
    </x:row>
    <x:row r="2" ht="23" customHeight="1">
      <x:c r="C2" s="68" t="str">
        <x:v>Curated managed capacity service</x:v>
      </x:c>
      <x:c r="D2" s="45"/>
      <x:c r="E2" s="45"/>
      <x:c r="F2" s="45"/>
      <x:c r="G2" s="45"/>
      <x:c r="H2" s="45"/>
      <x:c r="I2" s="45"/>
    </x:row>
    <x:row r="3" ht="30" customHeight="1">
      <x:c r="C3" s="60" t="str">
        <x:v>Illustrative resale segment. Partner operated supply. Separate from Institute and optional owned GPUs.</x:v>
      </x:c>
      <x:c r="D3" s="60"/>
      <x:c r="E3" s="60"/>
      <x:c r="F3" s="60"/>
      <x:c r="G3" s="60"/>
      <x:c r="H3" s="60"/>
      <x:c r="I3" s="60"/>
    </x:row>
    <x:row r="4" ht="23" customHeight="1">
      <x:c r="C4" s="45"/>
      <x:c r="D4" s="45"/>
      <x:c r="E4" s="45"/>
      <x:c r="F4" s="45"/>
      <x:c r="G4" s="45"/>
      <x:c r="H4" s="45"/>
      <x:c r="I4" s="45"/>
    </x:row>
    <x:row r="5" ht="23" customHeight="1">
      <x:c r="C5" s="45"/>
      <x:c r="D5" s="45"/>
      <x:c r="E5" s="45"/>
      <x:c r="F5" s="45"/>
      <x:c r="G5" s="45"/>
      <x:c r="H5" s="45"/>
      <x:c r="I5" s="45"/>
    </x:row>
    <x:row r="6" ht="23" customHeight="1">
      <x:c r="C6" s="45" t="str">
        <x:v>Selected scenario</x:v>
      </x:c>
      <x:c r="D6" s="45"/>
      <x:c r="E6" s="69" t="str">
        <x:f>'Assumptions'!F6</x:f>
        <x:v>Base</x:v>
      </x:c>
      <x:c r="F6" s="45"/>
      <x:c r="G6" s="45"/>
      <x:c r="H6" s="45"/>
      <x:c r="I6" s="45"/>
    </x:row>
    <x:row r="7" ht="23" customHeight="1">
      <x:c r="C7" s="45"/>
      <x:c r="D7" s="45"/>
      <x:c r="E7" s="45"/>
      <x:c r="F7" s="45"/>
      <x:c r="G7" s="45"/>
      <x:c r="H7" s="45"/>
      <x:c r="I7" s="45"/>
    </x:row>
    <x:row r="8" ht="26" customHeight="1">
      <x:c r="C8" s="50" t="str">
        <x:v>Managed service economics</x:v>
      </x:c>
      <x:c r="D8" s="50"/>
      <x:c r="E8" s="61" t="str">
        <x:v>FY28</x:v>
      </x:c>
      <x:c r="F8" s="61" t="str">
        <x:v>FY29</x:v>
      </x:c>
      <x:c r="G8" s="61" t="str">
        <x:v>FY30</x:v>
      </x:c>
      <x:c r="H8" s="61" t="str">
        <x:v>FY31</x:v>
      </x:c>
      <x:c r="I8" s="61" t="str">
        <x:v>FY32</x:v>
      </x:c>
    </x:row>
    <x:row r="9" ht="23" customHeight="1">
      <x:c r="C9" s="45" t="str">
        <x:v>Paid customer hours</x:v>
      </x:c>
      <x:c r="D9" s="45" t="str">
        <x:v>hours</x:v>
      </x:c>
      <x:c r="E9" s="72" t="n">
        <x:f>'Assumptions'!E112</x:f>
        <x:v>40000</x:v>
      </x:c>
      <x:c r="F9" s="72" t="n">
        <x:f>'Assumptions'!F112</x:f>
        <x:v>60000</x:v>
      </x:c>
      <x:c r="G9" s="72" t="n">
        <x:f>'Assumptions'!G112</x:f>
        <x:v>85000</x:v>
      </x:c>
      <x:c r="H9" s="72" t="n">
        <x:f>'Assumptions'!H112</x:f>
        <x:v>110000</x:v>
      </x:c>
      <x:c r="I9" s="72" t="n">
        <x:f>'Assumptions'!I112</x:f>
        <x:v>135000</x:v>
      </x:c>
    </x:row>
    <x:row r="10" ht="23" customHeight="1">
      <x:c r="C10" s="45" t="str">
        <x:v>Minimum provider commitment</x:v>
      </x:c>
      <x:c r="D10" s="45" t="str">
        <x:v>hours</x:v>
      </x:c>
      <x:c r="E10" s="72" t="n">
        <x:f>'Assumptions'!E118</x:f>
        <x:v>24000</x:v>
      </x:c>
      <x:c r="F10" s="72" t="n">
        <x:f>'Assumptions'!F118</x:f>
        <x:v>40000</x:v>
      </x:c>
      <x:c r="G10" s="72" t="n">
        <x:f>'Assumptions'!G118</x:f>
        <x:v>60000</x:v>
      </x:c>
      <x:c r="H10" s="72" t="n">
        <x:f>'Assumptions'!H118</x:f>
        <x:v>80000</x:v>
      </x:c>
      <x:c r="I10" s="72" t="n">
        <x:f>'Assumptions'!I118</x:f>
        <x:v>100000</x:v>
      </x:c>
    </x:row>
    <x:row r="11" ht="23" customHeight="1">
      <x:c r="C11" s="45" t="str">
        <x:v>Customer price</x:v>
      </x:c>
      <x:c r="D11" s="45" t="str">
        <x:v>GBP/hr</x:v>
      </x:c>
      <x:c r="E11" s="73" t="n">
        <x:f>'Assumptions'!E124</x:f>
        <x:v>2.75</x:v>
      </x:c>
      <x:c r="F11" s="73" t="n">
        <x:f>'Assumptions'!F124</x:f>
        <x:v>2.42</x:v>
      </x:c>
      <x:c r="G11" s="73" t="n">
        <x:f>'Assumptions'!G124</x:f>
        <x:v>2.1296</x:v>
      </x:c>
      <x:c r="H11" s="73" t="n">
        <x:f>'Assumptions'!H124</x:f>
        <x:v>1.874048</x:v>
      </x:c>
      <x:c r="I11" s="73" t="n">
        <x:f>'Assumptions'!I124</x:f>
        <x:v>1.64916224</x:v>
      </x:c>
    </x:row>
    <x:row r="12" ht="23" customHeight="1">
      <x:c r="C12" s="45" t="str">
        <x:v>All in managed provider rate</x:v>
      </x:c>
      <x:c r="D12" s="45" t="str">
        <x:v>GBP/hr</x:v>
      </x:c>
      <x:c r="E12" s="73" t="n">
        <x:f>'Assumptions'!E130</x:f>
        <x:v>1.65</x:v>
      </x:c>
      <x:c r="F12" s="73" t="n">
        <x:f>'Assumptions'!F130</x:f>
        <x:v>1.5</x:v>
      </x:c>
      <x:c r="G12" s="73" t="n">
        <x:f>'Assumptions'!G130</x:f>
        <x:v>1.38</x:v>
      </x:c>
      <x:c r="H12" s="73" t="n">
        <x:f>'Assumptions'!H130</x:f>
        <x:v>1.27</x:v>
      </x:c>
      <x:c r="I12" s="73" t="n">
        <x:f>'Assumptions'!I130</x:f>
        <x:v>1.17</x:v>
      </x:c>
    </x:row>
    <x:row r="13" ht="23" customHeight="1">
      <x:c r="C13" s="45" t="str">
        <x:v>Provider hours billed</x:v>
      </x:c>
      <x:c r="D13" s="45" t="str">
        <x:v>hours</x:v>
      </x:c>
      <x:c r="E13" s="67" t="n">
        <x:f>MAX(E9,E10)</x:f>
        <x:v>40000</x:v>
      </x:c>
      <x:c r="F13" s="67" t="n">
        <x:f>MAX(F9,F10)</x:f>
        <x:v>60000</x:v>
      </x:c>
      <x:c r="G13" s="67" t="n">
        <x:f>MAX(G9,G10)</x:f>
        <x:v>85000</x:v>
      </x:c>
      <x:c r="H13" s="67" t="n">
        <x:f>MAX(H9,H10)</x:f>
        <x:v>110000</x:v>
      </x:c>
      <x:c r="I13" s="67" t="n">
        <x:f>MAX(I9,I10)</x:f>
        <x:v>135000</x:v>
      </x:c>
    </x:row>
    <x:row r="14" ht="23" customHeight="1">
      <x:c r="C14" s="45" t="str">
        <x:v>Unused committed hours</x:v>
      </x:c>
      <x:c r="D14" s="45" t="str">
        <x:v>hours</x:v>
      </x:c>
      <x:c r="E14" s="67" t="n">
        <x:f>MAX(0,E10-E9)</x:f>
        <x:v>0</x:v>
      </x:c>
      <x:c r="F14" s="67" t="n">
        <x:f>MAX(0,F10-F9)</x:f>
        <x:v>0</x:v>
      </x:c>
      <x:c r="G14" s="67" t="n">
        <x:f>MAX(0,G10-G9)</x:f>
        <x:v>0</x:v>
      </x:c>
      <x:c r="H14" s="67" t="n">
        <x:f>MAX(0,H10-H9)</x:f>
        <x:v>0</x:v>
      </x:c>
      <x:c r="I14" s="67" t="n">
        <x:f>MAX(0,I10-I9)</x:f>
        <x:v>0</x:v>
      </x:c>
    </x:row>
    <x:row r="15" ht="23" customHeight="1">
      <x:c r="C15" s="63" t="str">
        <x:v>Customer billings</x:v>
      </x:c>
      <x:c r="D15" s="63" t="str">
        <x:v>GBP</x:v>
      </x:c>
      <x:c r="E15" s="79" t="n">
        <x:f>E9*E11</x:f>
        <x:v>110000</x:v>
      </x:c>
      <x:c r="F15" s="79" t="n">
        <x:f>F9*F11</x:f>
        <x:v>145200</x:v>
      </x:c>
      <x:c r="G15" s="79" t="n">
        <x:f>G9*G11</x:f>
        <x:v>181016</x:v>
      </x:c>
      <x:c r="H15" s="79" t="n">
        <x:f>H9*H11</x:f>
        <x:v>206145.28</x:v>
      </x:c>
      <x:c r="I15" s="79" t="n">
        <x:f>I9*I11</x:f>
        <x:v>222636.9024</x:v>
      </x:c>
    </x:row>
    <x:row r="16" ht="23" customHeight="1">
      <x:c r="C16" s="45" t="str">
        <x:v>Managed provider bill</x:v>
      </x:c>
      <x:c r="D16" s="45" t="str">
        <x:v>GBP</x:v>
      </x:c>
      <x:c r="E16" s="67" t="n">
        <x:f>E13*E12</x:f>
        <x:v>66000</x:v>
      </x:c>
      <x:c r="F16" s="67" t="n">
        <x:f>F13*F12</x:f>
        <x:v>90000</x:v>
      </x:c>
      <x:c r="G16" s="67" t="n">
        <x:f>G13*G12</x:f>
        <x:v>117299.99999999999</x:v>
      </x:c>
      <x:c r="H16" s="67" t="n">
        <x:f>H13*H12</x:f>
        <x:v>139700</x:v>
      </x:c>
      <x:c r="I16" s="67" t="n">
        <x:f>I13*I12</x:f>
        <x:v>157950</x:v>
      </x:c>
    </x:row>
    <x:row r="17" ht="23" customHeight="1">
      <x:c r="C17" s="45" t="str">
        <x:v>Dedicated variable support</x:v>
      </x:c>
      <x:c r="D17" s="45" t="str">
        <x:v>GBP</x:v>
      </x:c>
      <x:c r="E17" s="72" t="n">
        <x:f>E9*'Assumptions'!$E$100</x:f>
        <x:v>8000</x:v>
      </x:c>
      <x:c r="F17" s="72" t="n">
        <x:f>F9*'Assumptions'!$E$100</x:f>
        <x:v>12000</x:v>
      </x:c>
      <x:c r="G17" s="72" t="n">
        <x:f>G9*'Assumptions'!$E$100</x:f>
        <x:v>17000</x:v>
      </x:c>
      <x:c r="H17" s="72" t="n">
        <x:f>H9*'Assumptions'!$E$100</x:f>
        <x:v>22000</x:v>
      </x:c>
      <x:c r="I17" s="72" t="n">
        <x:f>I9*'Assumptions'!$E$100</x:f>
        <x:v>27000</x:v>
      </x:c>
    </x:row>
    <x:row r="18" ht="23" customHeight="1">
      <x:c r="C18" s="45" t="str">
        <x:v>Coordination and assurance</x:v>
      </x:c>
      <x:c r="D18" s="45" t="str">
        <x:v>GBP</x:v>
      </x:c>
      <x:c r="E18" s="72" t="n">
        <x:f>'Assumptions'!$E$101*(1+'Assumptions'!$E$25)^0</x:f>
        <x:v>24000</x:v>
      </x:c>
      <x:c r="F18" s="72" t="n">
        <x:f>'Assumptions'!$E$101*(1+'Assumptions'!$E$25)^1</x:f>
        <x:v>24720</x:v>
      </x:c>
      <x:c r="G18" s="72" t="n">
        <x:f>'Assumptions'!$E$101*(1+'Assumptions'!$E$25)^2</x:f>
        <x:v>25461.6</x:v>
      </x:c>
      <x:c r="H18" s="72" t="n">
        <x:f>'Assumptions'!$E$101*(1+'Assumptions'!$E$25)^3</x:f>
        <x:v>26225.448</x:v>
      </x:c>
      <x:c r="I18" s="72" t="n">
        <x:f>'Assumptions'!$E$101*(1+'Assumptions'!$E$25)^4</x:f>
        <x:v>27012.211440000003</x:v>
      </x:c>
    </x:row>
    <x:row r="19" ht="23" customHeight="1">
      <x:c r="C19" s="63" t="str">
        <x:v>Contribution before community budget</x:v>
      </x:c>
      <x:c r="D19" s="63" t="str">
        <x:v>GBP</x:v>
      </x:c>
      <x:c r="E19" s="79" t="n">
        <x:f>E15-SUM(E16:E18)</x:f>
        <x:v>12000</x:v>
      </x:c>
      <x:c r="F19" s="79" t="n">
        <x:f>F15-SUM(F16:F18)</x:f>
        <x:v>18480</x:v>
      </x:c>
      <x:c r="G19" s="79" t="n">
        <x:f>G15-SUM(G16:G18)</x:f>
        <x:v>21254.399999999994</x:v>
      </x:c>
      <x:c r="H19" s="79" t="n">
        <x:f>H15-SUM(H16:H18)</x:f>
        <x:v>18219.831999999995</x:v>
      </x:c>
      <x:c r="I19" s="79" t="n">
        <x:f>I15-SUM(I16:I18)</x:f>
        <x:v>10674.690959999978</x:v>
      </x:c>
    </x:row>
    <x:row r="20" ht="23" customHeight="1">
      <x:c r="C20" s="45" t="str">
        <x:v>Community programme spending</x:v>
      </x:c>
      <x:c r="D20" s="45" t="str">
        <x:v>GBP</x:v>
      </x:c>
      <x:c r="E20" s="72" t="n">
        <x:f>'Assumptions'!$E$102*(1+'Assumptions'!$E$25)^0</x:f>
        <x:v>12000</x:v>
      </x:c>
      <x:c r="F20" s="72" t="n">
        <x:f>'Assumptions'!$E$102*(1+'Assumptions'!$E$25)^1</x:f>
        <x:v>12360</x:v>
      </x:c>
      <x:c r="G20" s="72" t="n">
        <x:f>'Assumptions'!$E$102*(1+'Assumptions'!$E$25)^2</x:f>
        <x:v>12730.8</x:v>
      </x:c>
      <x:c r="H20" s="72" t="n">
        <x:f>'Assumptions'!$E$102*(1+'Assumptions'!$E$25)^3</x:f>
        <x:v>13112.724</x:v>
      </x:c>
      <x:c r="I20" s="72" t="n">
        <x:f>'Assumptions'!$E$102*(1+'Assumptions'!$E$25)^4</x:f>
        <x:v>13506.105720000001</x:v>
      </x:c>
    </x:row>
    <x:row r="21" ht="23" customHeight="1">
      <x:c r="C21" s="63" t="str">
        <x:v>Operating contribution before tax</x:v>
      </x:c>
      <x:c r="D21" s="63" t="str">
        <x:v>GBP</x:v>
      </x:c>
      <x:c r="E21" s="79" t="n">
        <x:f>E19-E20</x:f>
        <x:v>0</x:v>
      </x:c>
      <x:c r="F21" s="79" t="n">
        <x:f>F19-F20</x:f>
        <x:v>6120</x:v>
      </x:c>
      <x:c r="G21" s="79" t="n">
        <x:f>G19-G20</x:f>
        <x:v>8523.599999999995</x:v>
      </x:c>
      <x:c r="H21" s="79" t="n">
        <x:f>H19-H20</x:f>
        <x:v>5107.107999999995</x:v>
      </x:c>
      <x:c r="I21" s="79" t="n">
        <x:f>I19-I20</x:f>
        <x:v>-2831.4147600000233</x:v>
      </x:c>
    </x:row>
    <x:row r="22" ht="23" customHeight="1">
      <x:c r="C22" s="75" t="str">
        <x:v>Operating contribution / billings</x:v>
      </x:c>
      <x:c r="D22" s="75" t="str">
        <x:v>%</x:v>
      </x:c>
      <x:c r="E22" s="76" t="n">
        <x:f>IF(E15=0,"n.a.",E21/E15)</x:f>
        <x:v>0</x:v>
      </x:c>
      <x:c r="F22" s="76" t="n">
        <x:f>IF(F15=0,"n.a.",F21/F15)</x:f>
        <x:v>0.04214876033057851</x:v>
      </x:c>
      <x:c r="G22" s="76" t="n">
        <x:f>IF(G15=0,"n.a.",G21/G15)</x:f>
        <x:v>0.04708755027179915</x:v>
      </x:c>
      <x:c r="H22" s="76" t="n">
        <x:f>IF(H15=0,"n.a.",H21/H15)</x:f>
        <x:v>0.02477431450285932</x:v>
      </x:c>
      <x:c r="I22" s="76" t="n">
        <x:f>IF(I15=0,"n.a.",I21/I15)</x:f>
        <x:v>-0.01271763454071495</x:v>
      </x:c>
    </x:row>
    <x:row r="23" ht="23" customHeight="1">
      <x:c r="C23" s="45"/>
      <x:c r="D23" s="45"/>
      <x:c r="E23" s="67"/>
      <x:c r="F23" s="67"/>
      <x:c r="G23" s="67"/>
      <x:c r="H23" s="67"/>
      <x:c r="I23" s="67"/>
    </x:row>
    <x:row r="24" ht="26" customHeight="1">
      <x:c r="C24" s="50" t="str">
        <x:v>Cash and provider obligations</x:v>
      </x:c>
      <x:c r="D24" s="50"/>
      <x:c r="E24" s="71"/>
      <x:c r="F24" s="71"/>
      <x:c r="G24" s="71"/>
      <x:c r="H24" s="71"/>
      <x:c r="I24" s="71"/>
    </x:row>
    <x:row r="25" ht="23" customHeight="1">
      <x:c r="C25" s="45" t="str">
        <x:v>Customer receivables</x:v>
      </x:c>
      <x:c r="D25" s="45" t="str">
        <x:v>GBP</x:v>
      </x:c>
      <x:c r="E25" s="72" t="n">
        <x:f>E15*'Assumptions'!$E$103/'Assumptions'!$E$106</x:f>
        <x:v>18082.19178082192</x:v>
      </x:c>
      <x:c r="F25" s="72" t="n">
        <x:f>F15*'Assumptions'!$E$103/'Assumptions'!$E$106</x:f>
        <x:v>23868.49315068493</x:v>
      </x:c>
      <x:c r="G25" s="72" t="n">
        <x:f>G15*'Assumptions'!$E$103/'Assumptions'!$E$106</x:f>
        <x:v>29756.054794520547</x:v>
      </x:c>
      <x:c r="H25" s="72" t="n">
        <x:f>H15*'Assumptions'!$E$103/'Assumptions'!$E$106</x:f>
        <x:v>33886.89534246575</x:v>
      </x:c>
      <x:c r="I25" s="72" t="n">
        <x:f>I15*'Assumptions'!$E$103/'Assumptions'!$E$106</x:f>
        <x:v>36597.846969863014</x:v>
      </x:c>
    </x:row>
    <x:row r="26" ht="23" customHeight="1">
      <x:c r="C26" s="45" t="str">
        <x:v>Provider payables</x:v>
      </x:c>
      <x:c r="D26" s="45" t="str">
        <x:v>GBP</x:v>
      </x:c>
      <x:c r="E26" s="72" t="n">
        <x:f>E16*'Assumptions'!$E$104/'Assumptions'!$E$106</x:f>
        <x:v>5424.657534246576</x:v>
      </x:c>
      <x:c r="F26" s="72" t="n">
        <x:f>F16*'Assumptions'!$E$104/'Assumptions'!$E$106</x:f>
        <x:v>7397.260273972603</x:v>
      </x:c>
      <x:c r="G26" s="72" t="n">
        <x:f>G16*'Assumptions'!$E$104/'Assumptions'!$E$106</x:f>
        <x:v>9641.095890410958</x:v>
      </x:c>
      <x:c r="H26" s="72" t="n">
        <x:f>H16*'Assumptions'!$E$104/'Assumptions'!$E$106</x:f>
        <x:v>11482.191780821919</x:v>
      </x:c>
      <x:c r="I26" s="72" t="n">
        <x:f>I16*'Assumptions'!$E$104/'Assumptions'!$E$106</x:f>
        <x:v>12982.191780821919</x:v>
      </x:c>
    </x:row>
    <x:row r="27" ht="23" customHeight="1">
      <x:c r="C27" s="45" t="str">
        <x:v>Provider deposit held separately</x:v>
      </x:c>
      <x:c r="D27" s="45" t="str">
        <x:v>GBP</x:v>
      </x:c>
      <x:c r="E27" s="72" t="n">
        <x:f>E10*E12*'Assumptions'!$E$105/'Assumptions'!$E$107</x:f>
        <x:v>6600</x:v>
      </x:c>
      <x:c r="F27" s="72" t="n">
        <x:f>F10*F12*'Assumptions'!$E$105/'Assumptions'!$E$107</x:f>
        <x:v>10000</x:v>
      </x:c>
      <x:c r="G27" s="72" t="n">
        <x:f>G10*G12*'Assumptions'!$E$105/'Assumptions'!$E$107</x:f>
        <x:v>13800</x:v>
      </x:c>
      <x:c r="H27" s="72" t="n">
        <x:f>H10*H12*'Assumptions'!$E$105/'Assumptions'!$E$107</x:f>
        <x:v>16933.333333333332</x:v>
      </x:c>
      <x:c r="I27" s="72" t="n">
        <x:f>I10*I12*'Assumptions'!$E$105/'Assumptions'!$E$107</x:f>
        <x:v>19500</x:v>
      </x:c>
    </x:row>
    <x:row r="28" ht="23" customHeight="1">
      <x:c r="C28" s="45" t="str">
        <x:v>Change in net working capital</x:v>
      </x:c>
      <x:c r="D28" s="45" t="str">
        <x:v>GBP</x:v>
      </x:c>
      <x:c r="E28" s="67" t="n">
        <x:f>E25-E26+E27</x:f>
        <x:v>19257.534246575342</x:v>
      </x:c>
      <x:c r="F28" s="67" t="n">
        <x:f>(F25-E25)-(F26-E26)+(F27-E27)</x:f>
        <x:v>7213.698630136986</x:v>
      </x:c>
      <x:c r="G28" s="67" t="n">
        <x:f>(G25-F25)-(G26-F26)+(G27-F27)</x:f>
        <x:v>7443.726027397261</x:v>
      </x:c>
      <x:c r="H28" s="67" t="n">
        <x:f>(H25-G25)-(H26-G26)+(H27-G27)</x:f>
        <x:v>5423.077990867576</x:v>
      </x:c>
      <x:c r="I28" s="67" t="n">
        <x:f>(I25-H25)-(I26-H26)+(I27-H27)</x:f>
        <x:v>3777.61829406393</x:v>
      </x:c>
    </x:row>
    <x:row r="29" ht="23" customHeight="1">
      <x:c r="C29" s="63" t="str">
        <x:v>Net cash movement before tax</x:v>
      </x:c>
      <x:c r="D29" s="63" t="str">
        <x:v>GBP</x:v>
      </x:c>
      <x:c r="E29" s="79" t="n">
        <x:f>E21-E28</x:f>
        <x:v>-19257.534246575342</x:v>
      </x:c>
      <x:c r="F29" s="79" t="n">
        <x:f>F21-F28</x:f>
        <x:v>-1093.6986301369861</x:v>
      </x:c>
      <x:c r="G29" s="79" t="n">
        <x:f>G21-G28</x:f>
        <x:v>1079.8739726027343</x:v>
      </x:c>
      <x:c r="H29" s="79" t="n">
        <x:f>H21-H28</x:f>
        <x:v>-315.96999086758115</x:v>
      </x:c>
      <x:c r="I29" s="79" t="n">
        <x:f>I21-I28</x:f>
        <x:v>-6609.033054063953</x:v>
      </x:c>
    </x:row>
    <x:row r="30" ht="23" customHeight="1">
      <x:c r="C30" s="45" t="str">
        <x:v>Opening cash</x:v>
      </x:c>
      <x:c r="D30" s="45" t="str">
        <x:v>GBP</x:v>
      </x:c>
      <x:c r="E30" s="72" t="n">
        <x:f>'Assumptions'!$E$99</x:f>
        <x:v>60000</x:v>
      </x:c>
      <x:c r="F30" s="67" t="n">
        <x:f>E31</x:f>
        <x:v>40742.46575342466</x:v>
      </x:c>
      <x:c r="G30" s="67" t="n">
        <x:f>F31</x:f>
        <x:v>39648.767123287675</x:v>
      </x:c>
      <x:c r="H30" s="67" t="n">
        <x:f>G31</x:f>
        <x:v>40728.64109589041</x:v>
      </x:c>
      <x:c r="I30" s="67" t="n">
        <x:f>H31</x:f>
        <x:v>40412.671105022826</x:v>
      </x:c>
    </x:row>
    <x:row r="31" ht="23" customHeight="1">
      <x:c r="C31" s="63" t="str">
        <x:v>Closing spendable cash</x:v>
      </x:c>
      <x:c r="D31" s="63" t="str">
        <x:v>GBP</x:v>
      </x:c>
      <x:c r="E31" s="79" t="n">
        <x:f>SUM(E29:E30)</x:f>
        <x:v>40742.46575342466</x:v>
      </x:c>
      <x:c r="F31" s="79" t="n">
        <x:f>SUM(F29:F30)</x:f>
        <x:v>39648.767123287675</x:v>
      </x:c>
      <x:c r="G31" s="79" t="n">
        <x:f>SUM(G29:G30)</x:f>
        <x:v>40728.64109589041</x:v>
      </x:c>
      <x:c r="H31" s="79" t="n">
        <x:f>SUM(H29:H30)</x:f>
        <x:v>40412.671105022826</x:v>
      </x:c>
      <x:c r="I31" s="79" t="n">
        <x:f>SUM(I29:I30)</x:f>
        <x:v>33803.63805095887</x:v>
      </x:c>
    </x:row>
    <x:row r="32" ht="23" customHeight="1">
      <x:c r="C32" s="45" t="str">
        <x:v>Unfunded cash deficit</x:v>
      </x:c>
      <x:c r="D32" s="45" t="str">
        <x:v>GBP</x:v>
      </x:c>
      <x:c r="E32" s="67" t="n">
        <x:f>MAX(0,-E31)</x:f>
        <x:v>0</x:v>
      </x:c>
      <x:c r="F32" s="67" t="n">
        <x:f>MAX(0,-F31)</x:f>
        <x:v>0</x:v>
      </x:c>
      <x:c r="G32" s="67" t="n">
        <x:f>MAX(0,-G31)</x:f>
        <x:v>0</x:v>
      </x:c>
      <x:c r="H32" s="67" t="n">
        <x:f>MAX(0,-H31)</x:f>
        <x:v>0</x:v>
      </x:c>
      <x:c r="I32" s="67" t="n">
        <x:f>MAX(0,-I31)</x:f>
        <x:v>0</x:v>
      </x:c>
    </x:row>
    <x:row r="33" ht="23" customHeight="1">
      <x:c r="C33" s="45"/>
      <x:c r="D33" s="45"/>
      <x:c r="E33" s="67"/>
      <x:c r="F33" s="67"/>
      <x:c r="G33" s="67"/>
      <x:c r="H33" s="67"/>
      <x:c r="I33" s="67"/>
    </x:row>
    <x:row r="34" ht="23" customHeight="1">
      <x:c r="C34" s="45"/>
      <x:c r="D34" s="45"/>
      <x:c r="E34" s="67"/>
      <x:c r="F34" s="67"/>
      <x:c r="G34" s="67"/>
      <x:c r="H34" s="67"/>
      <x:c r="I34" s="67"/>
    </x:row>
    <x:row r="35" ht="23" customHeight="1">
      <x:c r="C35" s="63" t="str">
        <x:v>Five year operating contribution</x:v>
      </x:c>
      <x:c r="D35" s="63" t="str">
        <x:v>GBP</x:v>
      </x:c>
      <x:c r="E35" s="79" t="n">
        <x:f>SUM(E21:I21)</x:f>
        <x:v>16919.29323999997</x:v>
      </x:c>
      <x:c r="F35" s="79"/>
      <x:c r="G35" s="79"/>
      <x:c r="H35" s="79"/>
      <x:c r="I35" s="79"/>
    </x:row>
    <x:row r="36" ht="23" customHeight="1">
      <x:c r="C36" s="63" t="str">
        <x:v>Minimum cash incl opening balance</x:v>
      </x:c>
      <x:c r="D36" s="63" t="str">
        <x:v>GBP</x:v>
      </x:c>
      <x:c r="E36" s="79" t="n">
        <x:f>MIN('Assumptions'!E99,E31:I31)</x:f>
        <x:v>33803.63805095887</x:v>
      </x:c>
      <x:c r="F36" s="79"/>
      <x:c r="G36" s="79"/>
      <x:c r="H36" s="79"/>
      <x:c r="I36" s="79"/>
    </x:row>
    <x:row r="37" ht="23" customHeight="1">
      <x:c r="C37" s="63" t="str">
        <x:v>Final cash balance</x:v>
      </x:c>
      <x:c r="D37" s="63" t="str">
        <x:v>GBP</x:v>
      </x:c>
      <x:c r="E37" s="79" t="n">
        <x:f>I31</x:f>
        <x:v>33803.63805095887</x:v>
      </x:c>
      <x:c r="F37" s="79"/>
      <x:c r="G37" s="79"/>
      <x:c r="H37" s="79"/>
      <x:c r="I37" s="79"/>
    </x:row>
    <x:row r="38" ht="23" customHeight="1">
      <x:c r="C38" s="45"/>
      <x:c r="D38" s="45"/>
      <x:c r="E38" s="45"/>
      <x:c r="F38" s="45"/>
      <x:c r="G38" s="45"/>
      <x:c r="H38" s="45"/>
      <x:c r="I38" s="45"/>
    </x:row>
    <x:row r="39" ht="30" customHeight="1">
      <x:c r="C39" s="60" t="str">
        <x:v>No grants, donations, IP royalties, token proceeds or free research quota fund this service illustration.</x:v>
      </x:c>
      <x:c r="D39" s="60"/>
      <x:c r="E39" s="60"/>
      <x:c r="F39" s="60"/>
      <x:c r="G39" s="60"/>
      <x:c r="H39" s="60"/>
      <x:c r="I39" s="60"/>
    </x:row>
    <x:row r="40" ht="23" customHeight="1">
      <x:c r="C40" s="45"/>
      <x:c r="D40" s="45"/>
      <x:c r="E40" s="45"/>
      <x:c r="F40" s="45"/>
      <x:c r="G40" s="45"/>
      <x:c r="H40" s="45"/>
      <x:c r="I40" s="45"/>
    </x:row>
    <x:row r="41" ht="30" customHeight="1">
      <x:c r="C41" s="60" t="str">
        <x:v>Annual cash only. Tax, VAT, intra-year troughs, bad debts and contract-specific penalties remain unmodelled.</x:v>
      </x:c>
      <x:c r="D41" s="60"/>
      <x:c r="E41" s="60"/>
      <x:c r="F41" s="60"/>
      <x:c r="G41" s="60"/>
      <x:c r="H41" s="60"/>
      <x:c r="I41" s="60"/>
    </x:row>
    <x:row r="42" ht="23" customHeight="1">
      <x:c r="C42" s="45"/>
      <x:c r="D42" s="45"/>
      <x:c r="E42" s="45"/>
      <x:c r="F42" s="45"/>
      <x:c r="G42" s="45"/>
      <x:c r="H42" s="45"/>
      <x:c r="I42" s="45"/>
    </x:row>
    <x:row r="43" ht="30" customHeight="1">
      <x:c r="C43" s="60" t="str">
        <x:v>Provider prices include physical operations. Do not add the Compute sheet power, hosting or maintenance costs.</x:v>
      </x:c>
      <x:c r="D43" s="60"/>
      <x:c r="E43" s="60"/>
      <x:c r="F43" s="60"/>
      <x:c r="G43" s="60"/>
      <x:c r="H43" s="60"/>
      <x:c r="I43" s="60"/>
    </x:row>
    <x:row r="44" ht="23" customHeight="1">
      <x:c r="C44" s="45"/>
      <x:c r="D44" s="45"/>
      <x:c r="E44" s="45"/>
      <x:c r="F44" s="45"/>
      <x:c r="G44" s="45"/>
      <x:c r="H44" s="45"/>
      <x:c r="I44" s="45"/>
    </x:row>
    <x:row r="45" ht="30" customHeight="1">
      <x:c r="C45" s="60" t="str">
        <x:v>Reconcile shared staff, engagements and customer charges before consolidation. See Partner Service Model Guide.</x:v>
      </x:c>
      <x:c r="D45" s="60"/>
      <x:c r="E45" s="60"/>
      <x:c r="F45" s="60"/>
      <x:c r="G45" s="60"/>
      <x:c r="H45" s="60"/>
      <x:c r="I45" s="60"/>
    </x:row>
    <x:row r="46" ht="23" customHeight="1">
      <x:c r="C46" s="45"/>
      <x:c r="D46" s="45"/>
      <x:c r="E46" s="45"/>
      <x:c r="F46" s="45"/>
      <x:c r="G46" s="45"/>
      <x:c r="H46" s="45"/>
      <x:c r="I46" s="45"/>
    </x:row>
  </x:sheetData>
  <x:conditionalFormatting sqref="E21:I21">
    <x:cfRule type="cellIs" dxfId="8" priority="1" operator="lessThan">
      <x:formula>0</x:formula>
    </x:cfRule>
  </x:conditionalFormatting>
  <x:conditionalFormatting sqref="E31:I31">
    <x:cfRule type="cellIs" dxfId="9" priority="2" operator="lessThan">
      <x:formula>0</x:formula>
    </x:cfRule>
  </x:conditionalFormatting>
  <x:pageMargins left="0.7" right="0.7" top="0.75" bottom="0.75" header="0.3" footer="0.3"/>
</x:worksheet>
</file>